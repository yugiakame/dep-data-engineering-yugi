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15.xml"/>
  <Override ContentType="application/vnd.openxmlformats-officedocument.spreadsheetml.worksheet+xml" PartName="/xl/worksheets/sheet40.xml"/>
  <Override ContentType="application/vnd.openxmlformats-officedocument.spreadsheetml.worksheet+xml" PartName="/xl/worksheets/sheet32.xml"/>
  <Override ContentType="application/vnd.openxmlformats-officedocument.spreadsheetml.worksheet+xml" PartName="/xl/worksheets/sheet6.xml"/>
  <Override ContentType="application/vnd.openxmlformats-officedocument.spreadsheetml.worksheet+xml" PartName="/xl/worksheets/sheet49.xml"/>
  <Override ContentType="application/vnd.openxmlformats-officedocument.spreadsheetml.worksheet+xml" PartName="/xl/worksheets/sheet16.xml"/>
  <Override ContentType="application/vnd.openxmlformats-officedocument.spreadsheetml.worksheet+xml" PartName="/xl/worksheets/sheet41.xml"/>
  <Override ContentType="application/vnd.openxmlformats-officedocument.spreadsheetml.worksheet+xml" PartName="/xl/worksheets/sheet5.xml"/>
  <Override ContentType="application/vnd.openxmlformats-officedocument.spreadsheetml.worksheet+xml" PartName="/xl/worksheets/sheet50.xml"/>
  <Override ContentType="application/vnd.openxmlformats-officedocument.spreadsheetml.worksheet+xml" PartName="/xl/worksheets/sheet24.xml"/>
  <Override ContentType="application/vnd.openxmlformats-officedocument.spreadsheetml.worksheet+xml" PartName="/xl/worksheets/sheet33.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42.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14.xml"/>
  <Override ContentType="application/vnd.openxmlformats-officedocument.spreadsheetml.worksheet+xml" PartName="/xl/worksheets/sheet44.xml"/>
  <Override ContentType="application/vnd.openxmlformats-officedocument.spreadsheetml.worksheet+xml" PartName="/xl/worksheets/sheet13.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7.xml"/>
  <Override ContentType="application/vnd.openxmlformats-officedocument.spreadsheetml.worksheet+xml" PartName="/xl/worksheets/sheet28.xml"/>
  <Override ContentType="application/vnd.openxmlformats-officedocument.spreadsheetml.worksheet+xml" PartName="/xl/worksheets/sheet53.xml"/>
  <Override ContentType="application/vnd.openxmlformats-officedocument.spreadsheetml.worksheet+xml" PartName="/xl/worksheets/sheet10.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45.xml"/>
  <Override ContentType="application/vnd.openxmlformats-officedocument.spreadsheetml.worksheet+xml" PartName="/xl/worksheets/sheet36.xml"/>
  <Override ContentType="application/vnd.openxmlformats-officedocument.spreadsheetml.worksheet+xml" PartName="/xl/worksheets/sheet46.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9.xml"/>
  <Override ContentType="application/vnd.openxmlformats-officedocument.spreadsheetml.worksheet+xml" PartName="/xl/worksheets/sheet47.xml"/>
  <Override ContentType="application/vnd.openxmlformats-officedocument.spreadsheetml.worksheet+xml" PartName="/xl/worksheets/sheet4.xml"/>
  <Override ContentType="application/vnd.openxmlformats-officedocument.spreadsheetml.worksheet+xml" PartName="/xl/worksheets/sheet17.xml"/>
  <Override ContentType="application/vnd.openxmlformats-officedocument.spreadsheetml.worksheet+xml" PartName="/xl/worksheets/sheet51.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52.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48.xml"/>
  <Override ContentType="application/vnd.openxmlformats-officedocument.spreadsheetml.worksheet+xml" PartName="/xl/worksheets/sheet22.xml"/>
  <Override ContentType="application/vnd.openxmlformats-officedocument.spreadsheetml.worksheet+xml" PartName="/xl/worksheets/sheet35.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30.xml"/>
  <Override ContentType="application/vnd.openxmlformats-officedocument.drawing+xml" PartName="/xl/drawings/drawing47.xml"/>
  <Override ContentType="application/vnd.openxmlformats-officedocument.drawing+xml" PartName="/xl/drawings/drawing21.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48.xml"/>
  <Override ContentType="application/vnd.openxmlformats-officedocument.drawing+xml" PartName="/xl/drawings/drawing2.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53.xml"/>
  <Override ContentType="application/vnd.openxmlformats-officedocument.drawing+xml" PartName="/xl/drawings/drawing6.xml"/>
  <Override ContentType="application/vnd.openxmlformats-officedocument.drawing+xml" PartName="/xl/drawings/drawing40.xml"/>
  <Override ContentType="application/vnd.openxmlformats-officedocument.drawing+xml" PartName="/xl/drawings/drawing36.xml"/>
  <Override ContentType="application/vnd.openxmlformats-officedocument.drawing+xml" PartName="/xl/drawings/drawing23.xml"/>
  <Override ContentType="application/vnd.openxmlformats-officedocument.drawing+xml" PartName="/xl/drawings/drawing49.xml"/>
  <Override ContentType="application/vnd.openxmlformats-officedocument.drawing+xml" PartName="/xl/drawings/drawing38.xml"/>
  <Override ContentType="application/vnd.openxmlformats-officedocument.drawing+xml" PartName="/xl/drawings/drawing19.xml"/>
  <Override ContentType="application/vnd.openxmlformats-officedocument.drawing+xml" PartName="/xl/drawings/drawing41.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42.xml"/>
  <Override ContentType="application/vnd.openxmlformats-officedocument.drawing+xml" PartName="/xl/drawings/drawing11.xml"/>
  <Override ContentType="application/vnd.openxmlformats-officedocument.drawing+xml" PartName="/xl/drawings/drawing37.xml"/>
  <Override ContentType="application/vnd.openxmlformats-officedocument.drawing+xml" PartName="/xl/drawings/drawing26.xml"/>
  <Override ContentType="application/vnd.openxmlformats-officedocument.drawing+xml" PartName="/xl/drawings/drawing51.xml"/>
  <Override ContentType="application/vnd.openxmlformats-officedocument.drawing+xml" PartName="/xl/drawings/drawing9.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25.xml"/>
  <Override ContentType="application/vnd.openxmlformats-officedocument.drawing+xml" PartName="/xl/drawings/drawing34.xml"/>
  <Override ContentType="application/vnd.openxmlformats-officedocument.drawing+xml" PartName="/xl/drawings/drawing27.xml"/>
  <Override ContentType="application/vnd.openxmlformats-officedocument.drawing+xml" PartName="/xl/drawings/drawing52.xml"/>
  <Override ContentType="application/vnd.openxmlformats-officedocument.drawing+xml" PartName="/xl/drawings/drawing44.xml"/>
  <Override ContentType="application/vnd.openxmlformats-officedocument.drawing+xml" PartName="/xl/drawings/drawing7.xml"/>
  <Override ContentType="application/vnd.openxmlformats-officedocument.drawing+xml" PartName="/xl/drawings/drawing18.xml"/>
  <Override ContentType="application/vnd.openxmlformats-officedocument.drawing+xml" PartName="/xl/drawings/drawing35.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33.xml"/>
  <Override ContentType="application/vnd.openxmlformats-officedocument.drawing+xml" PartName="/xl/drawings/drawing46.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29.xml"/>
  <Override ContentType="application/vnd.openxmlformats-officedocument.drawing+xml" PartName="/xl/drawings/drawing50.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IST" sheetId="1" r:id="rId5"/>
    <sheet state="visible" name="Estimated Totals" sheetId="2" r:id="rId6"/>
    <sheet state="visible" name="Estimated Individuals by Sex" sheetId="3" r:id="rId7"/>
    <sheet state="visible" name="c27" sheetId="4" r:id="rId8"/>
    <sheet state="visible" name="c28_a and b" sheetId="5" r:id="rId9"/>
    <sheet state="visible" name="i_C6" sheetId="6" r:id="rId10"/>
    <sheet state="visible" name="i_C8" sheetId="7" r:id="rId11"/>
    <sheet state="visible" name="i_C8&amp;11" sheetId="8" r:id="rId12"/>
    <sheet state="visible" name="i_C12" sheetId="9" r:id="rId13"/>
    <sheet state="visible" name="i_C13" sheetId="10" r:id="rId14"/>
    <sheet state="visible" name="i_C14" sheetId="11" r:id="rId15"/>
    <sheet state="visible" name="i_C15" sheetId="12" r:id="rId16"/>
    <sheet state="visible" name="c29" sheetId="13" r:id="rId17"/>
    <sheet state="visible" name="c30_a to d" sheetId="14" r:id="rId18"/>
    <sheet state="visible" name="c29_C31_a to C31_g" sheetId="15" r:id="rId19"/>
    <sheet state="visible" name="i_C17-18" sheetId="16" r:id="rId20"/>
    <sheet state="visible" name="i_C17&amp;20" sheetId="17" r:id="rId21"/>
    <sheet state="visible" name="c32" sheetId="18" r:id="rId22"/>
    <sheet state="visible" name="C34_a to C34_f" sheetId="19" r:id="rId23"/>
    <sheet state="visible" name="C35" sheetId="20" r:id="rId24"/>
    <sheet state="visible" name="i_C21&amp;23" sheetId="21" r:id="rId25"/>
    <sheet state="visible" name="i_C21&amp;24" sheetId="22" r:id="rId26"/>
    <sheet state="visible" name="i_C21&amp;25" sheetId="23" r:id="rId27"/>
    <sheet state="visible" name="i_C21&amp;27" sheetId="24" r:id="rId28"/>
    <sheet state="visible" name="C36_a TO C36_m" sheetId="25" r:id="rId29"/>
    <sheet state="visible" name="i_C21-22" sheetId="26" r:id="rId30"/>
    <sheet state="visible" name="C23" sheetId="27" r:id="rId31"/>
    <sheet state="visible" name="C25" sheetId="28" r:id="rId32"/>
    <sheet state="visible" name="i_E2-5" sheetId="29" r:id="rId33"/>
    <sheet state="visible" name="i_E3" sheetId="30" r:id="rId34"/>
    <sheet state="visible" name="i_C21&amp;E6f&amp;E10" sheetId="31" r:id="rId35"/>
    <sheet state="visible" name="i_E10-12" sheetId="32" r:id="rId36"/>
    <sheet state="visible" name="i_E10a&amp;13" sheetId="33" r:id="rId37"/>
    <sheet state="visible" name="i_E10a&amp;14" sheetId="34" r:id="rId38"/>
    <sheet state="visible" name="iC21&amp;E23&amp;26" sheetId="35" r:id="rId39"/>
    <sheet state="visible" name="i_E23&amp;30" sheetId="36" r:id="rId40"/>
    <sheet state="visible" name="i_C21E23&amp;31" sheetId="37" r:id="rId41"/>
    <sheet state="visible" name="i_C21&amp;E23&amp;34" sheetId="38" r:id="rId42"/>
    <sheet state="visible" name="i_C21E23&amp;35" sheetId="39" r:id="rId43"/>
    <sheet state="visible" name="i_C21&amp;E23&amp;36" sheetId="40" r:id="rId44"/>
    <sheet state="visible" name="i_C21&amp;E23&amp;44" sheetId="41" r:id="rId45"/>
    <sheet state="visible" name="i_D1&amp;2" sheetId="42" r:id="rId46"/>
    <sheet state="visible" name="i_D3" sheetId="43" r:id="rId47"/>
    <sheet state="visible" name="i_D5" sheetId="44" r:id="rId48"/>
    <sheet state="visible" name="i_F1" sheetId="45" r:id="rId49"/>
    <sheet state="visible" name="i_F6" sheetId="46" r:id="rId50"/>
    <sheet state="visible" name="i_F6&amp;7&amp;9&amp;10" sheetId="47" r:id="rId51"/>
    <sheet state="visible" name="i_G1-5" sheetId="48" r:id="rId52"/>
    <sheet state="visible" name="i_H1-2" sheetId="49" r:id="rId53"/>
    <sheet state="visible" name="i_H3" sheetId="50" r:id="rId54"/>
    <sheet state="visible" name="i_I1" sheetId="51" r:id="rId55"/>
    <sheet state="visible" name="i_I2" sheetId="52" r:id="rId56"/>
    <sheet state="visible" name="i_I3" sheetId="53" r:id="rId57"/>
  </sheets>
  <definedNames>
    <definedName hidden="1" localSheetId="0" name="_xlnm._FilterDatabase">LIST!$A$4:$D$71</definedName>
  </definedNames>
  <calcPr/>
</workbook>
</file>

<file path=xl/sharedStrings.xml><?xml version="1.0" encoding="utf-8"?>
<sst xmlns="http://schemas.openxmlformats.org/spreadsheetml/2006/main" count="3182" uniqueCount="535">
  <si>
    <t>NICTHS: 2019 and 2024</t>
  </si>
  <si>
    <t>BACK TO LIST</t>
  </si>
  <si>
    <t>List of Tables</t>
  </si>
  <si>
    <t>Items</t>
  </si>
  <si>
    <t>Respondent</t>
  </si>
  <si>
    <t>Table Number</t>
  </si>
  <si>
    <t>Table</t>
  </si>
  <si>
    <t>Profile</t>
  </si>
  <si>
    <t>Household</t>
  </si>
  <si>
    <r>
      <rPr>
        <rFont val="Arial"/>
        <color theme="1"/>
        <sz val="12.0"/>
      </rPr>
      <t>Table #. Estimated Number of Individuals Aged 10 and Over by Region and Sex, Philippines: 2024</t>
    </r>
    <r>
      <rPr>
        <rFont val="Arial"/>
        <color theme="1"/>
        <sz val="12.0"/>
        <vertAlign val="superscript"/>
      </rPr>
      <t>p</t>
    </r>
  </si>
  <si>
    <t>Estimated Number of Households</t>
  </si>
  <si>
    <r>
      <rPr>
        <rFont val="Arial"/>
        <color theme="1"/>
        <sz val="12.0"/>
      </rPr>
      <t>Table #. Number and Percentage of Households with Access to Communal or Shared Cellphone by any Household Member at Any Time by Region, Philippines: 2019 and 2024</t>
    </r>
    <r>
      <rPr>
        <rFont val="Arial"/>
        <color theme="1"/>
        <sz val="12.0"/>
        <vertAlign val="superscript"/>
      </rPr>
      <t>p</t>
    </r>
  </si>
  <si>
    <r>
      <rPr>
        <rFont val="Arial"/>
        <color theme="1"/>
        <sz val="12.0"/>
      </rPr>
      <t>Table #. Estimated Number of Households and Individuals Aged 10 and Over by Region, Philippines: 2019 and 2024</t>
    </r>
    <r>
      <rPr>
        <rFont val="Arial"/>
        <color theme="1"/>
        <sz val="12.0"/>
        <vertAlign val="superscript"/>
      </rPr>
      <t>p</t>
    </r>
  </si>
  <si>
    <t>Region</t>
  </si>
  <si>
    <t>Individuals</t>
  </si>
  <si>
    <t>Estimated Number of Individuals</t>
  </si>
  <si>
    <t>2a</t>
  </si>
  <si>
    <t>Number of Individuals</t>
  </si>
  <si>
    <t>Estimated Number of Individuals by Sex and Region</t>
  </si>
  <si>
    <t>Cellphone</t>
  </si>
  <si>
    <t>Households with Access to Communal or Shared Cellphone by any Household Member at Any Time</t>
  </si>
  <si>
    <t>Number of Households</t>
  </si>
  <si>
    <t>Households with Cellphone That Can be Used by Any Household Member at Any Time by Type of Cellphone</t>
  </si>
  <si>
    <t>Individuals Who Used Cellphone</t>
  </si>
  <si>
    <t>Individuals Who Own Cellphone</t>
  </si>
  <si>
    <t>2019*</t>
  </si>
  <si>
    <t>Total Households</t>
  </si>
  <si>
    <t>6</t>
  </si>
  <si>
    <t>Total</t>
  </si>
  <si>
    <t>Male</t>
  </si>
  <si>
    <t>Female</t>
  </si>
  <si>
    <t>Cellphone Owners by Type of Cellphone</t>
  </si>
  <si>
    <t>With Access to Communal or Shared Cellphone</t>
  </si>
  <si>
    <t>PHILIPPINES</t>
  </si>
  <si>
    <t>Cellphone Owners by Type of SIM Used</t>
  </si>
  <si>
    <t>SIM Registration</t>
  </si>
  <si>
    <t>Individuals with ICT Device and Active SIM by Details Used in SIM Registration</t>
  </si>
  <si>
    <t>Number</t>
  </si>
  <si>
    <t>National Capital Region</t>
  </si>
  <si>
    <t>Proportion</t>
  </si>
  <si>
    <t>Individuals with ICT Device and Active SIM Who Did Not Use Own Information in SIM Registration by Main Reason</t>
  </si>
  <si>
    <t>Cordillera Administrative Region</t>
  </si>
  <si>
    <t>Individuals with ICT Device, Active SIM and Registered SIM by Main Difficulty Encountered</t>
  </si>
  <si>
    <t>Region I - Ilocos Region</t>
  </si>
  <si>
    <t>Region II - Cagayan Valley</t>
  </si>
  <si>
    <t>Individual Average Monthly Spending on Load or Subscription</t>
  </si>
  <si>
    <t>Region III - Central Luzon</t>
  </si>
  <si>
    <t>Computer</t>
  </si>
  <si>
    <t>Region IV-A - CALABARZON</t>
  </si>
  <si>
    <t>Households with Computer That Can be Used by Any Household Member at Any Time</t>
  </si>
  <si>
    <t>MIMAROPA Region</t>
  </si>
  <si>
    <t>Region V - Bicol Region</t>
  </si>
  <si>
    <t>Households with Computer That Can be Used by Any Household Member at Any Time by Type</t>
  </si>
  <si>
    <t>Region VI - Western Visayas</t>
  </si>
  <si>
    <t>Region VII - Central Visayas</t>
  </si>
  <si>
    <t>Households Accessing a Computer By Alternative Access Method</t>
  </si>
  <si>
    <t>Region VIII - Eastern Visayas</t>
  </si>
  <si>
    <t>Region IX - Zamboanga Peninsula</t>
  </si>
  <si>
    <t>Individuals Using a Computer</t>
  </si>
  <si>
    <t>Region X - Northern Mindanao</t>
  </si>
  <si>
    <t>Region XI - Davao Region</t>
  </si>
  <si>
    <t>15</t>
  </si>
  <si>
    <t>Computer Users by Type</t>
  </si>
  <si>
    <t>Region XII - SOCCSKSARGEN</t>
  </si>
  <si>
    <t>Region XIII - Caraga</t>
  </si>
  <si>
    <t>Bangsamoro Autonomous Region in Muslim Mindanao</t>
  </si>
  <si>
    <t>Individuals Using Computer by Activity</t>
  </si>
  <si>
    <t>Internet</t>
  </si>
  <si>
    <t>Households With/Have Access to the Internet</t>
  </si>
  <si>
    <t>Notes:</t>
  </si>
  <si>
    <t>Households with Internet by Usage of Internet</t>
  </si>
  <si>
    <t>Households Average Monthly Spending on Internet</t>
  </si>
  <si>
    <t>Details may not add up to totals due to rounding.</t>
  </si>
  <si>
    <r>
      <rPr>
        <rFont val="Arial"/>
        <i/>
        <color theme="1"/>
        <sz val="9.0"/>
        <vertAlign val="superscript"/>
      </rPr>
      <t>p</t>
    </r>
    <r>
      <rPr>
        <rFont val="Arial"/>
        <i/>
        <color theme="1"/>
        <sz val="9.0"/>
      </rPr>
      <t xml:space="preserve"> Estimates are preliminary and may change</t>
    </r>
  </si>
  <si>
    <t>Individuals Using the Internet</t>
  </si>
  <si>
    <r>
      <rPr>
        <rFont val="Arial"/>
        <i/>
        <color theme="1"/>
        <sz val="9.0"/>
        <vertAlign val="superscript"/>
      </rPr>
      <t>*</t>
    </r>
    <r>
      <rPr>
        <rFont val="Arial"/>
        <i/>
        <color theme="1"/>
        <sz val="9.0"/>
      </rPr>
      <t xml:space="preserve"> Based on the July 2019 Population Projection.</t>
    </r>
  </si>
  <si>
    <t>Source of data: Philippine Statistics Authority, 2024 National Information and Communications Technology Household Survey.</t>
  </si>
  <si>
    <r>
      <rPr>
        <rFont val="Arial"/>
        <i/>
        <color theme="1"/>
        <sz val="9.0"/>
        <vertAlign val="superscript"/>
      </rPr>
      <t>p</t>
    </r>
    <r>
      <rPr>
        <rFont val="Arial"/>
        <i/>
        <color theme="1"/>
        <sz val="9.0"/>
      </rPr>
      <t xml:space="preserve"> Estimates are preliminary and may change</t>
    </r>
  </si>
  <si>
    <t>20</t>
  </si>
  <si>
    <t>Individuals Using the Internet by Type of Device Used</t>
  </si>
  <si>
    <t>Individuals Using the Internet by Access Location</t>
  </si>
  <si>
    <t>Individuals Using the Internet by Frequency</t>
  </si>
  <si>
    <t>Top 5 Purposes for Using the Internet by Individuals</t>
  </si>
  <si>
    <t>Top 5 Barriers for Not Having Internet Connection at Home in 2024</t>
  </si>
  <si>
    <t>Top 5 Barriers to Internet Access in 2024 by Individuals</t>
  </si>
  <si>
    <t>Television</t>
  </si>
  <si>
    <t>Households Access to Television</t>
  </si>
  <si>
    <t>Households Access to Television by Type</t>
  </si>
  <si>
    <t>Digital Economy/E-Commerce</t>
  </si>
  <si>
    <t>individuals Who Have Online Bank Account</t>
  </si>
  <si>
    <t>28</t>
  </si>
  <si>
    <t>Individuals with an ICT Device and an Active SIM Who Have Electronic/Mobile Money Account</t>
  </si>
  <si>
    <t>Individuals Who Have Electronic/Mobile Money Account</t>
  </si>
  <si>
    <t>Individuals Who are Engaged in Online Activities to Earn Money by Type of Activity</t>
  </si>
  <si>
    <t>Individuals Who have an Online Buying or Online Selling Accounts</t>
  </si>
  <si>
    <t>30</t>
  </si>
  <si>
    <t>Individuals Who are Internet Users and Selling Goods Online to Earn Money</t>
  </si>
  <si>
    <t>Individuals Who Are Selling Goods Online by Type of Goods Sold</t>
  </si>
  <si>
    <t>Individuals Who Are Selling Goods Online by Type of Online Site or Mobile Application Used</t>
  </si>
  <si>
    <t>Individuals Who Are Selling Goods Online by Mode of Payment Being Accepted</t>
  </si>
  <si>
    <t>Internet Users Who are Purchasing Goods and/or Services Online</t>
  </si>
  <si>
    <t>34</t>
  </si>
  <si>
    <t>Top 5 Types of Goods/Services Purchased Online in 2024</t>
  </si>
  <si>
    <t>Individuals Who Purchase Goods/Services Online by Online Site or Mobile Application Used</t>
  </si>
  <si>
    <t>Individuals Who Purchase Goods/Services Online by Type of Device Used</t>
  </si>
  <si>
    <t>Individuals Who Purchase Goods/Services Online by Type of Delivery/Fulfillment Method Chosen</t>
  </si>
  <si>
    <t>Individuals Who Purchase Goods/Services Online by Mode of Payment Used</t>
  </si>
  <si>
    <t>Individuals Who are Not Using Electronic Payments on Online Purchases</t>
  </si>
  <si>
    <t>Individuals Who are Not Purchasing Online by Type of Reason</t>
  </si>
  <si>
    <t>Government Websites/Online Services</t>
  </si>
  <si>
    <t>Individuals Who are Aware of Any Government Websites or Online Services</t>
  </si>
  <si>
    <t>41</t>
  </si>
  <si>
    <t>Individuals with Internet Who are Using the Internet to Access Government Websites/Services</t>
  </si>
  <si>
    <t>Individuals Who Used the Internet and Accessed Online Government Websites/Services by Website/Service</t>
  </si>
  <si>
    <t>Technology-Enabled Incidents</t>
  </si>
  <si>
    <t>Individuals Who are Aware of Cybersecurity or Data Privacy</t>
  </si>
  <si>
    <t>Individuals Who Experienced Any Cyber Incidents (Text Scams, Phishing, and Hacking)</t>
  </si>
  <si>
    <t>44</t>
  </si>
  <si>
    <t>Individuals Who Experienced Any Cyber Incidents and Have Reported the Incident</t>
  </si>
  <si>
    <t>Individuals Who Experienced Any Cyber Incidents and Have Been a Victim of the Incident by Type</t>
  </si>
  <si>
    <t>'i_F6&amp;7&amp;9&amp;10'!A1</t>
  </si>
  <si>
    <t>Artificial Intelligence</t>
  </si>
  <si>
    <r>
      <rPr>
        <rFont val="Arial"/>
        <i/>
        <color theme="1"/>
        <sz val="9.0"/>
        <vertAlign val="superscript"/>
      </rPr>
      <t>p</t>
    </r>
    <r>
      <rPr>
        <rFont val="Arial"/>
        <i/>
        <color theme="1"/>
        <sz val="9.0"/>
      </rPr>
      <t xml:space="preserve"> Estimates are preliminary and may change</t>
    </r>
  </si>
  <si>
    <t>Individuals Who are Using Artificial Intelligence Applications</t>
  </si>
  <si>
    <t>45</t>
  </si>
  <si>
    <t>Individuals Who are Familiar with the Concept of Artificial Intelligence</t>
  </si>
  <si>
    <t>'i_G1-5'!A1</t>
  </si>
  <si>
    <t>Individuals Who Feel Safe/Comfortable in Using Artificial Intelligence</t>
  </si>
  <si>
    <t>e-Waste</t>
  </si>
  <si>
    <t>Individuals Who are Aware and Knowledgeable About e-Waste</t>
  </si>
  <si>
    <t>46</t>
  </si>
  <si>
    <t>Individuals Who are Aware of e-Waste by Source of Information</t>
  </si>
  <si>
    <t>Individuals Who Have Disposed an Electronic Device/Appliance</t>
  </si>
  <si>
    <t>Emergency and Disaster Preparedness</t>
  </si>
  <si>
    <t>Individuals by Source of Information About a Disaster</t>
  </si>
  <si>
    <t>Individuals by Most Effective Means of Receiving Information on Making Household Safe from Natural Disasters</t>
  </si>
  <si>
    <t>Individuals Who Have Received Any Emergency Mobile Alerts</t>
  </si>
  <si>
    <t>governemnt websites by platform used to accessed</t>
  </si>
  <si>
    <t>individuals who received/experienced cyber incidents</t>
  </si>
  <si>
    <r>
      <rPr>
        <rFont val="Arial"/>
        <color theme="1"/>
        <sz val="12.0"/>
      </rPr>
      <t>Table #. Number and Proportion of Households with Access to Communal or Shared Cellphone by Type of Cellphone by Region, Philippines: 2024</t>
    </r>
    <r>
      <rPr>
        <rFont val="Arial"/>
        <color theme="1"/>
        <sz val="12.0"/>
        <vertAlign val="superscript"/>
      </rPr>
      <t>p</t>
    </r>
  </si>
  <si>
    <t>Basic Cellphone</t>
  </si>
  <si>
    <t>Smart Phone</t>
  </si>
  <si>
    <r>
      <rPr>
        <rFont val="Arial"/>
        <color theme="1"/>
        <sz val="12.0"/>
      </rPr>
      <t>Table #. Number and Proportion of Individuals Who Used a Cellphone by Region, Philippines: 2019</t>
    </r>
    <r>
      <rPr>
        <rFont val="Arial"/>
        <color theme="1"/>
        <sz val="12.0"/>
        <vertAlign val="superscript"/>
      </rPr>
      <t>r</t>
    </r>
    <r>
      <rPr>
        <rFont val="Arial"/>
        <color theme="1"/>
        <sz val="12.0"/>
      </rPr>
      <t xml:space="preserve"> and 2024</t>
    </r>
    <r>
      <rPr>
        <rFont val="Arial"/>
        <color theme="1"/>
        <sz val="12.0"/>
        <vertAlign val="superscript"/>
      </rPr>
      <t>p</t>
    </r>
  </si>
  <si>
    <t>Total Individuals</t>
  </si>
  <si>
    <t>Used a Cellphone</t>
  </si>
  <si>
    <r>
      <rPr>
        <rFont val="Arial"/>
        <i/>
        <color theme="1"/>
        <sz val="9.0"/>
        <vertAlign val="superscript"/>
      </rPr>
      <t>p</t>
    </r>
    <r>
      <rPr>
        <rFont val="Arial"/>
        <i/>
        <color theme="1"/>
        <sz val="9.0"/>
      </rPr>
      <t xml:space="preserve"> Estimates are preliminary and may change</t>
    </r>
  </si>
  <si>
    <r>
      <rPr>
        <rFont val="Arial"/>
        <color theme="1"/>
        <sz val="12.0"/>
      </rPr>
      <t>Table #. Number and Proportion of Individuals Who Own a Cellphone by Type of Cellphone and Region, Philippines: 2019</t>
    </r>
    <r>
      <rPr>
        <rFont val="Arial"/>
        <color theme="1"/>
        <sz val="12.0"/>
        <vertAlign val="superscript"/>
      </rPr>
      <t>r</t>
    </r>
    <r>
      <rPr>
        <rFont val="Arial"/>
        <color theme="1"/>
        <sz val="12.0"/>
      </rPr>
      <t xml:space="preserve"> and 2024</t>
    </r>
    <r>
      <rPr>
        <rFont val="Arial"/>
        <color theme="1"/>
        <sz val="12.0"/>
        <vertAlign val="superscript"/>
      </rPr>
      <t>p</t>
    </r>
  </si>
  <si>
    <t>Cellphone Owners</t>
  </si>
  <si>
    <t>Type of Cellphone</t>
  </si>
  <si>
    <t>Basic/Analog Phone</t>
  </si>
  <si>
    <t>Smartphone</t>
  </si>
  <si>
    <r>
      <rPr>
        <rFont val="Arial"/>
        <i/>
        <color theme="1"/>
        <sz val="9.0"/>
        <vertAlign val="superscript"/>
      </rPr>
      <t>p</t>
    </r>
    <r>
      <rPr>
        <rFont val="Arial"/>
        <i/>
        <color theme="1"/>
        <sz val="9.0"/>
      </rPr>
      <t xml:space="preserve"> Estimates are preliminary and may change</t>
    </r>
  </si>
  <si>
    <r>
      <rPr>
        <rFont val="Arial"/>
        <i/>
        <color theme="1"/>
        <sz val="9.0"/>
        <vertAlign val="superscript"/>
      </rPr>
      <t>r</t>
    </r>
    <r>
      <rPr>
        <rFont val="Arial"/>
        <i/>
        <color theme="1"/>
        <sz val="9.0"/>
      </rPr>
      <t xml:space="preserve"> Revised</t>
    </r>
  </si>
  <si>
    <r>
      <rPr>
        <rFont val="Arial"/>
        <color theme="1"/>
        <sz val="12.0"/>
      </rPr>
      <t>Table #. Number and Proportion of Cellphone Owners by Type of SIM Card Used and Region, Philippines: 2019</t>
    </r>
    <r>
      <rPr>
        <rFont val="Arial"/>
        <color theme="1"/>
        <sz val="12.0"/>
        <vertAlign val="superscript"/>
      </rPr>
      <t>r</t>
    </r>
    <r>
      <rPr>
        <rFont val="Arial"/>
        <color theme="1"/>
        <sz val="12.0"/>
      </rPr>
      <t xml:space="preserve"> and 2024</t>
    </r>
    <r>
      <rPr>
        <rFont val="Arial"/>
        <color theme="1"/>
        <sz val="12.0"/>
        <vertAlign val="superscript"/>
      </rPr>
      <t>p</t>
    </r>
  </si>
  <si>
    <t>Prepaid</t>
  </si>
  <si>
    <t>Postpaid</t>
  </si>
  <si>
    <r>
      <rPr>
        <rFont val="Arial"/>
        <i/>
        <color theme="1"/>
        <sz val="9.0"/>
        <vertAlign val="superscript"/>
      </rPr>
      <t>p</t>
    </r>
    <r>
      <rPr>
        <rFont val="Arial"/>
        <i/>
        <color theme="1"/>
        <sz val="9.0"/>
      </rPr>
      <t xml:space="preserve"> Estimates are preliminary and may change</t>
    </r>
  </si>
  <si>
    <r>
      <rPr>
        <rFont val="Arial"/>
        <i/>
        <color theme="1"/>
        <sz val="9.0"/>
        <vertAlign val="superscript"/>
      </rPr>
      <t>r</t>
    </r>
    <r>
      <rPr>
        <rFont val="Arial"/>
        <i/>
        <color theme="1"/>
        <sz val="9.0"/>
      </rPr>
      <t xml:space="preserve"> Revised</t>
    </r>
  </si>
  <si>
    <r>
      <rPr>
        <rFont val="Arial"/>
        <color theme="1"/>
        <sz val="12.0"/>
      </rPr>
      <t>Table #. Number and Proportion of Individuals With ICT Device and Active SIM by Details Used in SIM Card Registration and Region, Philippines: 2024</t>
    </r>
    <r>
      <rPr>
        <rFont val="Arial"/>
        <color theme="1"/>
        <sz val="12.0"/>
        <vertAlign val="superscript"/>
      </rPr>
      <t>p</t>
    </r>
  </si>
  <si>
    <t>With ICT Device and Active SIM</t>
  </si>
  <si>
    <t>Details Used in SIM Registration</t>
  </si>
  <si>
    <t>Owner</t>
  </si>
  <si>
    <t>Relative</t>
  </si>
  <si>
    <t>Others*</t>
  </si>
  <si>
    <r>
      <rPr>
        <rFont val="Arial"/>
        <color theme="1"/>
        <sz val="12.0"/>
      </rPr>
      <t>Table #. Number and Proportion of Individuals with ICT Device and Active SIM Who Did Not Use Own Information in SIM Registration by Main Reason and Region, Philippines: 2024</t>
    </r>
    <r>
      <rPr>
        <rFont val="Arial"/>
        <color theme="1"/>
        <sz val="12.0"/>
        <vertAlign val="superscript"/>
      </rPr>
      <t>p</t>
    </r>
  </si>
  <si>
    <t>Did Not Use Own Information</t>
  </si>
  <si>
    <t>Main Reason for Not Using Own Information</t>
  </si>
  <si>
    <t>No Government Issued ID</t>
  </si>
  <si>
    <t>Don't Know the Process</t>
  </si>
  <si>
    <t>Child (Parental Control)</t>
  </si>
  <si>
    <t>Others</t>
  </si>
  <si>
    <t>* Includes Friend, Pre-Registered, Employer, Others</t>
  </si>
  <si>
    <r>
      <rPr>
        <rFont val="Arial"/>
        <i/>
        <color theme="1"/>
        <sz val="9.0"/>
        <vertAlign val="superscript"/>
      </rPr>
      <t>p</t>
    </r>
    <r>
      <rPr>
        <rFont val="Arial"/>
        <i/>
        <color theme="1"/>
        <sz val="9.0"/>
      </rPr>
      <t xml:space="preserve"> Estimates are preliminary and may change</t>
    </r>
  </si>
  <si>
    <r>
      <rPr>
        <rFont val="Arial"/>
        <i/>
        <color theme="1"/>
        <sz val="9.0"/>
        <vertAlign val="superscript"/>
      </rPr>
      <t>p</t>
    </r>
    <r>
      <rPr>
        <rFont val="Arial"/>
        <i/>
        <color theme="1"/>
        <sz val="9.0"/>
      </rPr>
      <t xml:space="preserve"> Estimates are preliminary and may change</t>
    </r>
  </si>
  <si>
    <r>
      <rPr>
        <rFont val="Arial"/>
        <i/>
        <color theme="1"/>
        <sz val="9.0"/>
        <vertAlign val="superscript"/>
      </rPr>
      <t>p</t>
    </r>
    <r>
      <rPr>
        <rFont val="Arial"/>
        <i/>
        <color theme="1"/>
        <sz val="9.0"/>
      </rPr>
      <t xml:space="preserve"> Estimates are preliminary and may change</t>
    </r>
  </si>
  <si>
    <r>
      <rPr>
        <rFont val="Arial"/>
        <i/>
        <color theme="1"/>
        <sz val="9.0"/>
        <vertAlign val="superscript"/>
      </rPr>
      <t>r</t>
    </r>
    <r>
      <rPr>
        <rFont val="Arial"/>
        <i/>
        <color theme="1"/>
        <sz val="9.0"/>
      </rPr>
      <t xml:space="preserve"> Revised</t>
    </r>
  </si>
  <si>
    <r>
      <rPr>
        <rFont val="Arial"/>
        <color theme="1"/>
        <sz val="12.0"/>
      </rPr>
      <t>Table #. Number and Proportion of Individuals with ICT Device, Active SIM and Registered SIM by Main Difficulty Encountered and Region, Philippines: 2024</t>
    </r>
    <r>
      <rPr>
        <rFont val="Arial"/>
        <color theme="1"/>
        <sz val="12.0"/>
        <vertAlign val="superscript"/>
      </rPr>
      <t>p</t>
    </r>
  </si>
  <si>
    <t>Main Difficulty Encountered in SIM Registration</t>
  </si>
  <si>
    <t>Difficulty in Accessing the Registration Site</t>
  </si>
  <si>
    <t>Difficulty in Uploading ID</t>
  </si>
  <si>
    <t>Difficulty in Accomplishing the Registration Form</t>
  </si>
  <si>
    <t>Registration Site Took a Long Time to Load</t>
  </si>
  <si>
    <t>Did not 
Encounter any Difficulty</t>
  </si>
  <si>
    <r>
      <rPr>
        <rFont val="Arial"/>
        <color theme="1"/>
        <sz val="12.0"/>
      </rPr>
      <t>Table #. Individual Average Monthly Spending on Load or Subscription by Region, Philippines: 2019 and 2024</t>
    </r>
    <r>
      <rPr>
        <rFont val="Arial"/>
        <color theme="1"/>
        <sz val="12.0"/>
        <vertAlign val="superscript"/>
      </rPr>
      <t>p</t>
    </r>
  </si>
  <si>
    <t>Average Monthly Spending</t>
  </si>
  <si>
    <r>
      <rPr>
        <rFont val="Arial"/>
        <i/>
        <color theme="1"/>
        <sz val="9.0"/>
        <vertAlign val="superscript"/>
      </rPr>
      <t>p</t>
    </r>
    <r>
      <rPr>
        <rFont val="Arial"/>
        <i/>
        <color theme="1"/>
        <sz val="9.0"/>
      </rPr>
      <t xml:space="preserve"> Estimates are preliminary and may change</t>
    </r>
  </si>
  <si>
    <r>
      <rPr>
        <rFont val="Arial"/>
        <i/>
        <color theme="1"/>
        <sz val="9.0"/>
        <vertAlign val="superscript"/>
      </rPr>
      <t>p</t>
    </r>
    <r>
      <rPr>
        <rFont val="Arial"/>
        <i/>
        <color theme="1"/>
        <sz val="9.0"/>
      </rPr>
      <t xml:space="preserve"> Estimates are preliminary and may change</t>
    </r>
  </si>
  <si>
    <r>
      <rPr>
        <rFont val="Arial"/>
        <color theme="1"/>
        <sz val="12.0"/>
      </rPr>
      <t>Table #. Number and Proportion of Households with Communal or Shared Computer That Can be Used by Any Household Member at Any Time by Region, Philippines: 2019 and 2024</t>
    </r>
    <r>
      <rPr>
        <rFont val="Arial"/>
        <color theme="1"/>
        <sz val="12.0"/>
        <vertAlign val="superscript"/>
      </rPr>
      <t>p</t>
    </r>
  </si>
  <si>
    <t>With Communal or Shared Computer</t>
  </si>
  <si>
    <r>
      <rPr>
        <rFont val="Arial"/>
        <i/>
        <color theme="1"/>
        <sz val="9.0"/>
        <vertAlign val="superscript"/>
      </rPr>
      <t>p</t>
    </r>
    <r>
      <rPr>
        <rFont val="Arial"/>
        <i/>
        <color theme="1"/>
        <sz val="9.0"/>
      </rPr>
      <t xml:space="preserve"> Estimates are preliminary and may change</t>
    </r>
  </si>
  <si>
    <r>
      <rPr>
        <rFont val="Arial"/>
        <color theme="1"/>
        <sz val="12.0"/>
      </rPr>
      <t>Table #. Number and Proportion of Households with Communal or Shared Computer That Can be Used by Any Household Member at Any Time by Type and Region, Philippines: 2019</t>
    </r>
    <r>
      <rPr>
        <rFont val="Arial"/>
        <color theme="1"/>
        <sz val="12.0"/>
        <vertAlign val="superscript"/>
      </rPr>
      <t>r</t>
    </r>
    <r>
      <rPr>
        <rFont val="Arial"/>
        <color theme="1"/>
        <sz val="12.0"/>
      </rPr>
      <t xml:space="preserve"> and 2024</t>
    </r>
    <r>
      <rPr>
        <rFont val="Arial"/>
        <color theme="1"/>
        <sz val="12.0"/>
        <vertAlign val="superscript"/>
      </rPr>
      <t>p</t>
    </r>
  </si>
  <si>
    <r>
      <rPr>
        <rFont val="Arial"/>
        <color theme="1"/>
        <sz val="12.0"/>
      </rPr>
      <t>Table #. Number and Proportion of Households Accessing a Computer by Alternative Access Method and Region, Philippines: 2019 and 2024</t>
    </r>
    <r>
      <rPr>
        <rFont val="Arial"/>
        <color theme="1"/>
        <sz val="12.0"/>
        <vertAlign val="superscript"/>
      </rPr>
      <t>p</t>
    </r>
  </si>
  <si>
    <r>
      <rPr>
        <rFont val="Arial"/>
        <color theme="1"/>
        <sz val="12.0"/>
      </rPr>
      <t>Table #. Number and Proportion of Individuals and Computer Users by Type of Computer and Region, Philippines: 2019</t>
    </r>
    <r>
      <rPr>
        <rFont val="Arial"/>
        <color theme="1"/>
        <sz val="12.0"/>
        <vertAlign val="superscript"/>
      </rPr>
      <t>r</t>
    </r>
    <r>
      <rPr>
        <rFont val="Arial"/>
        <color theme="1"/>
        <sz val="12.0"/>
      </rPr>
      <t xml:space="preserve"> and 2024</t>
    </r>
    <r>
      <rPr>
        <rFont val="Arial"/>
        <color theme="1"/>
        <sz val="12.0"/>
        <vertAlign val="superscript"/>
      </rPr>
      <t>p</t>
    </r>
  </si>
  <si>
    <t>Type of Computer</t>
  </si>
  <si>
    <t>Computer Users</t>
  </si>
  <si>
    <t>Alternative Access Method</t>
  </si>
  <si>
    <t>Desktop</t>
  </si>
  <si>
    <t>Laptop</t>
  </si>
  <si>
    <t>Tablet</t>
  </si>
  <si>
    <t>School/Work</t>
  </si>
  <si>
    <t>Tablet or Similar Device</t>
  </si>
  <si>
    <t>Relatives/
Friends/Neighbors</t>
  </si>
  <si>
    <t>Barangay/ 
Community Computers</t>
  </si>
  <si>
    <t>Computer Shops</t>
  </si>
  <si>
    <t>School</t>
  </si>
  <si>
    <t>Work</t>
  </si>
  <si>
    <t>Pisonet</t>
  </si>
  <si>
    <t>-</t>
  </si>
  <si>
    <r>
      <rPr>
        <rFont val="Arial"/>
        <color theme="1"/>
        <sz val="12.0"/>
      </rPr>
      <t>Table #. Number and Proportion of Individuals Using Computer by Activity and Region, Philippines: 2019</t>
    </r>
    <r>
      <rPr>
        <rFont val="Arial"/>
        <color theme="1"/>
        <sz val="12.0"/>
        <vertAlign val="superscript"/>
      </rPr>
      <t>r</t>
    </r>
    <r>
      <rPr>
        <rFont val="Arial"/>
        <color theme="1"/>
        <sz val="12.0"/>
      </rPr>
      <t xml:space="preserve"> and 2024</t>
    </r>
    <r>
      <rPr>
        <rFont val="Arial"/>
        <color theme="1"/>
        <sz val="12.0"/>
        <vertAlign val="superscript"/>
      </rPr>
      <t>p</t>
    </r>
  </si>
  <si>
    <t>Computer-Related Activities Performed</t>
  </si>
  <si>
    <t>Communication</t>
  </si>
  <si>
    <t>Entertainment and Gaming</t>
  </si>
  <si>
    <t>Distance/Online/ Computer-Aided Learning</t>
  </si>
  <si>
    <t>Using Copy and Paste Tools to Duplicate/Move Information (Files/Folder)</t>
  </si>
  <si>
    <t>Transferring Files Between a Computer and Other Devices</t>
  </si>
  <si>
    <t>Sending Emails (Text)</t>
  </si>
  <si>
    <t>Sending Emails with Attached Files (Document, Picture, Video)</t>
  </si>
  <si>
    <t>Data Encoding</t>
  </si>
  <si>
    <t>Finding, Downloading, Installing and/or Configuring Software</t>
  </si>
  <si>
    <t>Running Software Program</t>
  </si>
  <si>
    <t>Using Basic Arithmetic Formula in a Spreadsheet</t>
  </si>
  <si>
    <t>Creating Documents Using a Word Processing Software</t>
  </si>
  <si>
    <t>Creating Electronic Presentations with Software</t>
  </si>
  <si>
    <t>Data Management 
and Analysis</t>
  </si>
  <si>
    <t>Using Modelling, Simulation and Rendering Software</t>
  </si>
  <si>
    <r>
      <rPr>
        <rFont val="Arial"/>
        <i/>
        <color theme="1"/>
        <sz val="9.0"/>
        <vertAlign val="superscript"/>
      </rPr>
      <t>p</t>
    </r>
    <r>
      <rPr>
        <rFont val="Arial"/>
        <i/>
        <color theme="1"/>
        <sz val="9.0"/>
      </rPr>
      <t xml:space="preserve"> Estimates are preliminary and may change</t>
    </r>
  </si>
  <si>
    <r>
      <rPr>
        <rFont val="Arial"/>
        <i/>
        <color theme="1"/>
        <sz val="9.0"/>
        <vertAlign val="superscript"/>
      </rPr>
      <t>r</t>
    </r>
    <r>
      <rPr>
        <rFont val="Arial"/>
        <i/>
        <color theme="1"/>
        <sz val="9.0"/>
      </rPr>
      <t xml:space="preserve"> Revised</t>
    </r>
  </si>
  <si>
    <r>
      <rPr>
        <rFont val="Arial"/>
        <i/>
        <color theme="1"/>
        <sz val="9.0"/>
        <vertAlign val="superscript"/>
      </rPr>
      <t>p</t>
    </r>
    <r>
      <rPr>
        <rFont val="Arial"/>
        <i/>
        <color theme="1"/>
        <sz val="9.0"/>
      </rPr>
      <t xml:space="preserve"> Estimates are preliminary and may change</t>
    </r>
  </si>
  <si>
    <r>
      <rPr>
        <rFont val="Arial"/>
        <i/>
        <color theme="1"/>
        <sz val="9.0"/>
        <vertAlign val="superscript"/>
      </rPr>
      <t>r</t>
    </r>
    <r>
      <rPr>
        <rFont val="Arial"/>
        <i/>
        <color theme="1"/>
        <sz val="9.0"/>
      </rPr>
      <t xml:space="preserve"> Revised</t>
    </r>
  </si>
  <si>
    <r>
      <rPr>
        <rFont val="Arial"/>
        <i/>
        <color theme="1"/>
        <sz val="9.0"/>
        <vertAlign val="superscript"/>
      </rPr>
      <t>p</t>
    </r>
    <r>
      <rPr>
        <rFont val="Arial"/>
        <i/>
        <color theme="1"/>
        <sz val="9.0"/>
      </rPr>
      <t xml:space="preserve"> Estimates are preliminary and may change</t>
    </r>
  </si>
  <si>
    <r>
      <rPr>
        <rFont val="Arial"/>
        <color theme="1"/>
        <sz val="12.0"/>
      </rPr>
      <t>Table #. Number and Proportion of Households With Access to the Internet at Home by Region, Philippines: 2019 and 2024</t>
    </r>
    <r>
      <rPr>
        <rFont val="Arial"/>
        <color theme="1"/>
        <sz val="12.0"/>
        <vertAlign val="superscript"/>
      </rPr>
      <t>p</t>
    </r>
  </si>
  <si>
    <t>With Access to the Internet at Home</t>
  </si>
  <si>
    <t>Using Copy and Paste Tools to Duplicate or Move Data, Information and Content in Digital Environment</t>
  </si>
  <si>
    <t>Sending Messages</t>
  </si>
  <si>
    <t>Using Basic Arithmetic Formula/Computation in a Spreadsheet</t>
  </si>
  <si>
    <t>Connecting and Installing New Devices Through Wired or Wireless Technology</t>
  </si>
  <si>
    <t>Finding, Downloading, Installing New Devices</t>
  </si>
  <si>
    <r>
      <rPr>
        <rFont val="Arial"/>
        <color theme="1"/>
        <sz val="12.0"/>
      </rPr>
      <t>Table #. Number and Proportion of Households With Access to the Internet at Home by Usage of Internet and Region, Philippines: 2019</t>
    </r>
    <r>
      <rPr>
        <rFont val="Arial"/>
        <color theme="1"/>
        <sz val="12.0"/>
        <vertAlign val="superscript"/>
      </rPr>
      <t>r</t>
    </r>
    <r>
      <rPr>
        <rFont val="Arial"/>
        <color theme="1"/>
        <sz val="12.0"/>
      </rPr>
      <t xml:space="preserve"> and 2024</t>
    </r>
    <r>
      <rPr>
        <rFont val="Arial"/>
        <color theme="1"/>
        <sz val="12.0"/>
        <vertAlign val="superscript"/>
      </rPr>
      <t>p</t>
    </r>
  </si>
  <si>
    <t>Creating Electronic Presentations with Presentation Software</t>
  </si>
  <si>
    <t>Transferring Files or Applications Between Devices</t>
  </si>
  <si>
    <t>Setting Up Effective Security Measures to Protect Devices and Online Accounts</t>
  </si>
  <si>
    <t>Changing Privacy Settings on your Device, Account or App to Limit the Sharing of Personal Data and Information</t>
  </si>
  <si>
    <t>Verifying the Reliability of Information Found Online</t>
  </si>
  <si>
    <t>Programming or Coding in Digital Environments</t>
  </si>
  <si>
    <t>Usage of Internet</t>
  </si>
  <si>
    <t>Work/Business</t>
  </si>
  <si>
    <t>Studies</t>
  </si>
  <si>
    <t>Social Media</t>
  </si>
  <si>
    <t>Entertainment</t>
  </si>
  <si>
    <t>Business</t>
  </si>
  <si>
    <r>
      <rPr>
        <rFont val="Arial"/>
        <i/>
        <color theme="1"/>
        <sz val="9.0"/>
        <vertAlign val="superscript"/>
      </rPr>
      <t>p</t>
    </r>
    <r>
      <rPr>
        <rFont val="Arial"/>
        <i/>
        <color theme="1"/>
        <sz val="9.0"/>
      </rPr>
      <t xml:space="preserve"> Estimates are preliminary and may change</t>
    </r>
  </si>
  <si>
    <t>*</t>
  </si>
  <si>
    <r>
      <rPr>
        <rFont val="Arial"/>
        <color theme="1"/>
        <sz val="12.0"/>
      </rPr>
      <t>Table #. Households Average Monthly Spending on Internet by Region, Philippines: 2019 and 2024</t>
    </r>
    <r>
      <rPr>
        <rFont val="Arial"/>
        <color theme="1"/>
        <sz val="12.0"/>
        <vertAlign val="superscript"/>
      </rPr>
      <t>p</t>
    </r>
  </si>
  <si>
    <r>
      <rPr>
        <rFont val="Arial"/>
        <i/>
        <color theme="1"/>
        <sz val="9.0"/>
        <vertAlign val="superscript"/>
      </rPr>
      <t>p</t>
    </r>
    <r>
      <rPr>
        <rFont val="Arial"/>
        <i/>
        <color theme="1"/>
        <sz val="9.0"/>
      </rPr>
      <t xml:space="preserve"> Estimates are preliminary and may change</t>
    </r>
  </si>
  <si>
    <r>
      <rPr>
        <rFont val="Arial"/>
        <color theme="1"/>
        <sz val="12.0"/>
      </rPr>
      <t>Table #. Number and Proportion of Individuals Using the Internet by Type of Device Used and Region, Philippines: 2019</t>
    </r>
    <r>
      <rPr>
        <rFont val="Arial"/>
        <color theme="1"/>
        <sz val="12.0"/>
        <vertAlign val="superscript"/>
      </rPr>
      <t>r</t>
    </r>
    <r>
      <rPr>
        <rFont val="Arial"/>
        <color theme="1"/>
        <sz val="12.0"/>
      </rPr>
      <t xml:space="preserve"> and 2024</t>
    </r>
    <r>
      <rPr>
        <rFont val="Arial"/>
        <color theme="1"/>
        <sz val="12.0"/>
        <vertAlign val="superscript"/>
      </rPr>
      <t>p</t>
    </r>
  </si>
  <si>
    <r>
      <rPr>
        <rFont val="Arial"/>
        <i/>
        <color theme="1"/>
        <sz val="9.0"/>
        <vertAlign val="superscript"/>
      </rPr>
      <t>p</t>
    </r>
    <r>
      <rPr>
        <rFont val="Arial"/>
        <i/>
        <color theme="1"/>
        <sz val="9.0"/>
      </rPr>
      <t xml:space="preserve"> Estimates are preliminary and may change</t>
    </r>
  </si>
  <si>
    <t>Internet User</t>
  </si>
  <si>
    <r>
      <rPr>
        <rFont val="Arial"/>
        <i/>
        <color theme="1"/>
        <sz val="9.0"/>
        <vertAlign val="superscript"/>
      </rPr>
      <t>r</t>
    </r>
    <r>
      <rPr>
        <rFont val="Arial"/>
        <i/>
        <color theme="1"/>
        <sz val="9.0"/>
      </rPr>
      <t xml:space="preserve"> Revised</t>
    </r>
  </si>
  <si>
    <t>Type of Device Used</t>
  </si>
  <si>
    <t>Gaming Console</t>
  </si>
  <si>
    <r>
      <rPr>
        <rFont val="Arial"/>
        <color theme="1"/>
        <sz val="12.0"/>
      </rPr>
      <t>Table #. Number and Proportion of Individuals Using the Internet by Access Location and Region, Philippines: 2019</t>
    </r>
    <r>
      <rPr>
        <rFont val="Arial"/>
        <color theme="1"/>
        <sz val="12.0"/>
        <vertAlign val="superscript"/>
      </rPr>
      <t>r</t>
    </r>
    <r>
      <rPr>
        <rFont val="Arial"/>
        <color theme="1"/>
        <sz val="12.0"/>
      </rPr>
      <t xml:space="preserve"> and 2024</t>
    </r>
    <r>
      <rPr>
        <rFont val="Arial"/>
        <color theme="1"/>
        <sz val="12.0"/>
        <vertAlign val="superscript"/>
      </rPr>
      <t>p</t>
    </r>
  </si>
  <si>
    <t>Access Location</t>
  </si>
  <si>
    <t>Home</t>
  </si>
  <si>
    <r>
      <rPr>
        <rFont val="Arial"/>
        <i/>
        <color theme="1"/>
        <sz val="9.0"/>
        <vertAlign val="superscript"/>
      </rPr>
      <t>p</t>
    </r>
    <r>
      <rPr>
        <rFont val="Arial"/>
        <i/>
        <color theme="1"/>
        <sz val="9.0"/>
      </rPr>
      <t xml:space="preserve"> Estimates are preliminary and may change</t>
    </r>
  </si>
  <si>
    <t>Place of Education</t>
  </si>
  <si>
    <t>In Another 
Person's Home</t>
  </si>
  <si>
    <r>
      <rPr>
        <rFont val="Arial"/>
        <i/>
        <color theme="1"/>
        <sz val="9.0"/>
        <vertAlign val="superscript"/>
      </rPr>
      <t>r</t>
    </r>
    <r>
      <rPr>
        <rFont val="Arial"/>
        <i/>
        <color theme="1"/>
        <sz val="9.0"/>
      </rPr>
      <t xml:space="preserve"> Revised</t>
    </r>
  </si>
  <si>
    <t>In Public Access Venues</t>
  </si>
  <si>
    <t>In Commercial Establishments</t>
  </si>
  <si>
    <t>In Mobility</t>
  </si>
  <si>
    <t>Smart TV/Set Top Box</t>
  </si>
  <si>
    <r>
      <rPr>
        <rFont val="Arial"/>
        <color theme="1"/>
        <sz val="12.0"/>
      </rPr>
      <t>Table #. Number and Proportion of Individuals Using the Internet by Frequency of Access and Region, Philippines: 2019</t>
    </r>
    <r>
      <rPr>
        <rFont val="Arial"/>
        <color theme="1"/>
        <sz val="12.0"/>
        <vertAlign val="superscript"/>
      </rPr>
      <t>r</t>
    </r>
    <r>
      <rPr>
        <rFont val="Arial"/>
        <color theme="1"/>
        <sz val="12.0"/>
      </rPr>
      <t xml:space="preserve"> and 2024</t>
    </r>
    <r>
      <rPr>
        <rFont val="Arial"/>
        <color theme="1"/>
        <sz val="12.0"/>
        <vertAlign val="superscript"/>
      </rPr>
      <t>p</t>
    </r>
  </si>
  <si>
    <r>
      <rPr>
        <rFont val="Arial"/>
        <i/>
        <color theme="1"/>
        <sz val="9.0"/>
        <vertAlign val="superscript"/>
      </rPr>
      <t>p</t>
    </r>
    <r>
      <rPr>
        <rFont val="Arial"/>
        <i/>
        <color theme="1"/>
        <sz val="9.0"/>
      </rPr>
      <t xml:space="preserve"> Estimates are preliminary and may change</t>
    </r>
  </si>
  <si>
    <r>
      <rPr>
        <rFont val="Arial"/>
        <i/>
        <color theme="1"/>
        <sz val="9.0"/>
        <vertAlign val="superscript"/>
      </rPr>
      <t>r</t>
    </r>
    <r>
      <rPr>
        <rFont val="Arial"/>
        <i/>
        <color theme="1"/>
        <sz val="9.0"/>
      </rPr>
      <t xml:space="preserve"> Revised</t>
    </r>
  </si>
  <si>
    <t>Frequency of Access</t>
  </si>
  <si>
    <t>Daily/Every day</t>
  </si>
  <si>
    <t>Weekly but Not Every day</t>
  </si>
  <si>
    <t>Monthly but Not Weekly</t>
  </si>
  <si>
    <t>Not Regular, 
Only When Needed</t>
  </si>
  <si>
    <r>
      <rPr>
        <rFont val="Arial"/>
        <i/>
        <color theme="1"/>
        <sz val="9.0"/>
        <vertAlign val="superscript"/>
      </rPr>
      <t>p</t>
    </r>
    <r>
      <rPr>
        <rFont val="Arial"/>
        <i/>
        <color theme="1"/>
        <sz val="9.0"/>
      </rPr>
      <t xml:space="preserve"> Estimates are preliminary and may change</t>
    </r>
  </si>
  <si>
    <r>
      <rPr>
        <rFont val="Arial"/>
        <i/>
        <color theme="1"/>
        <sz val="9.0"/>
        <vertAlign val="superscript"/>
      </rPr>
      <t>r</t>
    </r>
    <r>
      <rPr>
        <rFont val="Arial"/>
        <i/>
        <color theme="1"/>
        <sz val="9.0"/>
      </rPr>
      <t xml:space="preserve"> Revised</t>
    </r>
  </si>
  <si>
    <r>
      <rPr>
        <rFont val="Arial"/>
        <color theme="1"/>
        <sz val="12.0"/>
      </rPr>
      <t>Table #. Number and Proportion of Individual Using the Internet in by Purpose of Using the Internet and Region, Philippines: 2024</t>
    </r>
    <r>
      <rPr>
        <rFont val="Arial"/>
        <color theme="1"/>
        <sz val="12.0"/>
        <vertAlign val="superscript"/>
      </rPr>
      <t>p</t>
    </r>
  </si>
  <si>
    <t>Purpose of Use</t>
  </si>
  <si>
    <r>
      <rPr>
        <rFont val="Arial"/>
        <i/>
        <color theme="1"/>
        <sz val="9.0"/>
        <vertAlign val="superscript"/>
      </rPr>
      <t>p</t>
    </r>
    <r>
      <rPr>
        <rFont val="Arial"/>
        <i/>
        <color theme="1"/>
        <sz val="9.0"/>
      </rPr>
      <t xml:space="preserve"> Estimates are preliminary and may change</t>
    </r>
  </si>
  <si>
    <r>
      <rPr>
        <rFont val="Arial"/>
        <i/>
        <color theme="1"/>
        <sz val="9.0"/>
        <vertAlign val="superscript"/>
      </rPr>
      <t>r</t>
    </r>
    <r>
      <rPr>
        <rFont val="Arial"/>
        <i/>
        <color theme="1"/>
        <sz val="9.0"/>
      </rPr>
      <t xml:space="preserve"> Revised</t>
    </r>
  </si>
  <si>
    <t>Getting Information 
About Goods or Services</t>
  </si>
  <si>
    <t>Seeking Health-Related Information</t>
  </si>
  <si>
    <t>Getting Information from General Government Organizations</t>
  </si>
  <si>
    <t>Using Services Related to Travel or Travel Related Accommodation</t>
  </si>
  <si>
    <t>Downloading of Software and/or Application</t>
  </si>
  <si>
    <t>Reading or Downloading Newspapers, Magazines, or Electronic Books in a Digital Format</t>
  </si>
  <si>
    <t>Sending or 
Receiving E-Mail</t>
  </si>
  <si>
    <t>Making Calls 
via the Internet</t>
  </si>
  <si>
    <t>Participating in Social Networks, Creating User Profile, Posting Messages or Other Contributions</t>
  </si>
  <si>
    <t>Making an Appointment with a Health Practitioner via the Internet</t>
  </si>
  <si>
    <t>Interacting with Government Organizations</t>
  </si>
  <si>
    <t>Attending an Online Class/Online Course</t>
  </si>
  <si>
    <t>Consulting Websites for Formal or Informal Learning Purposes like Wikis, Online Encyclopedias</t>
  </si>
  <si>
    <t>Looking for a Job, or Sending/Submitting a 
Job Application</t>
  </si>
  <si>
    <t>Participating in Professional Networks</t>
  </si>
  <si>
    <t>Listening to Web Radio</t>
  </si>
  <si>
    <r>
      <rPr>
        <rFont val="Arial"/>
        <color theme="1"/>
        <sz val="12.0"/>
      </rPr>
      <t>Table #. Number and Proportion of Households By Reason for Not Having an Internet Connection and Region, Philippines: 2019</t>
    </r>
    <r>
      <rPr>
        <rFont val="Arial"/>
        <color theme="1"/>
        <sz val="12.0"/>
        <vertAlign val="superscript"/>
      </rPr>
      <t>r</t>
    </r>
    <r>
      <rPr>
        <rFont val="Arial"/>
        <color theme="1"/>
        <sz val="12.0"/>
      </rPr>
      <t xml:space="preserve"> and 2024</t>
    </r>
    <r>
      <rPr>
        <rFont val="Arial"/>
        <color theme="1"/>
        <sz val="12.0"/>
        <vertAlign val="superscript"/>
      </rPr>
      <t>p</t>
    </r>
  </si>
  <si>
    <t xml:space="preserve">Watching Web Television </t>
  </si>
  <si>
    <t>Streaming or Downloading Web Images, Movies, Videos, or Music</t>
  </si>
  <si>
    <t>Playing or Downloading Games</t>
  </si>
  <si>
    <t>Uploading Self/User Created Content to a Website to be Shared</t>
  </si>
  <si>
    <t>Using Storage Space on the Internet to Save Documents, Pictures, Music, Video or Other Files</t>
  </si>
  <si>
    <t>Using Software that Runs Over the Internet for Editing Text Documents, Spreadsheets, or Presentations</t>
  </si>
  <si>
    <t>Households Which Do Not Have an Internet Connection at Home</t>
  </si>
  <si>
    <t>Reasons for Not Having an Internet Connection</t>
  </si>
  <si>
    <t>Internet Service Not Available in the Area</t>
  </si>
  <si>
    <t>Privacy or 
Security Concerns</t>
  </si>
  <si>
    <t>Exposure to 
Harmful Content</t>
  </si>
  <si>
    <t>Not Allowed 
to Use the Internet</t>
  </si>
  <si>
    <t>Have Access to the Internet Elsewhere</t>
  </si>
  <si>
    <t>High Cost of 
Internet Subscription</t>
  </si>
  <si>
    <t>High Cost of Equipment</t>
  </si>
  <si>
    <t>Do not Need the Internet</t>
  </si>
  <si>
    <t>Members have Individual/Personal Connection</t>
  </si>
  <si>
    <r>
      <rPr>
        <rFont val="Arial"/>
        <color theme="1"/>
        <sz val="12.0"/>
      </rPr>
      <t>Table #. Number and Proportion of Individuals Who Have Not Used the Internet by Reason for Not Using the Internet and Region, Philippines: 2019 and 2024</t>
    </r>
    <r>
      <rPr>
        <rFont val="Arial"/>
        <color theme="1"/>
        <sz val="12.0"/>
        <vertAlign val="superscript"/>
      </rPr>
      <t>p</t>
    </r>
  </si>
  <si>
    <t>Individuals Who Have Not Used the Internet</t>
  </si>
  <si>
    <t>Reasons for Not Using the Internet</t>
  </si>
  <si>
    <t>Internet Service is Not Available in the Area</t>
  </si>
  <si>
    <t>Privacy or Security Concerns</t>
  </si>
  <si>
    <t>High Cost 
of Internet Subscription</t>
  </si>
  <si>
    <t>Poor Quality and Speed</t>
  </si>
  <si>
    <t>Do Not Know 
How to Use It</t>
  </si>
  <si>
    <t>Don't Know 
What Internet Is</t>
  </si>
  <si>
    <t>Do Not Need the Internet</t>
  </si>
  <si>
    <r>
      <rPr>
        <rFont val="Arial"/>
        <color theme="1"/>
        <sz val="12.0"/>
      </rPr>
      <t>Table #. Number and Proportion of Households with Access to Television by Region, Philippines: 2019 and 2024</t>
    </r>
    <r>
      <rPr>
        <rFont val="Arial"/>
        <color theme="1"/>
        <sz val="12.0"/>
        <vertAlign val="superscript"/>
      </rPr>
      <t>p</t>
    </r>
  </si>
  <si>
    <t>With Access to Television</t>
  </si>
  <si>
    <t>Do not Know How to Use</t>
  </si>
  <si>
    <t>Do not Know 
What Internet is</t>
  </si>
  <si>
    <r>
      <rPr>
        <rFont val="Arial"/>
        <i/>
        <color theme="1"/>
        <sz val="9.0"/>
        <vertAlign val="superscript"/>
      </rPr>
      <t>p</t>
    </r>
    <r>
      <rPr>
        <rFont val="Arial"/>
        <i/>
        <color theme="1"/>
        <sz val="9.0"/>
      </rPr>
      <t xml:space="preserve"> Estimates are preliminary and may change</t>
    </r>
  </si>
  <si>
    <r>
      <rPr>
        <rFont val="Arial"/>
        <i/>
        <color theme="1"/>
        <sz val="9.0"/>
        <vertAlign val="superscript"/>
      </rPr>
      <t>p</t>
    </r>
    <r>
      <rPr>
        <rFont val="Arial"/>
        <i/>
        <color theme="1"/>
        <sz val="9.0"/>
      </rPr>
      <t xml:space="preserve"> Estimates are preliminary and may change</t>
    </r>
  </si>
  <si>
    <r>
      <rPr>
        <rFont val="Arial"/>
        <i/>
        <color theme="1"/>
        <sz val="9.0"/>
        <vertAlign val="superscript"/>
      </rPr>
      <t>r</t>
    </r>
    <r>
      <rPr>
        <rFont val="Arial"/>
        <i/>
        <color theme="1"/>
        <sz val="9.0"/>
      </rPr>
      <t xml:space="preserve"> Revised</t>
    </r>
  </si>
  <si>
    <r>
      <rPr>
        <rFont val="Arial"/>
        <i/>
        <color theme="1"/>
        <sz val="9.0"/>
        <vertAlign val="superscript"/>
      </rPr>
      <t>p</t>
    </r>
    <r>
      <rPr>
        <rFont val="Arial"/>
        <i/>
        <color theme="1"/>
        <sz val="9.0"/>
      </rPr>
      <t xml:space="preserve"> Estimates are preliminary and may change</t>
    </r>
  </si>
  <si>
    <r>
      <rPr>
        <rFont val="Arial"/>
        <i/>
        <color theme="1"/>
        <sz val="9.0"/>
        <vertAlign val="superscript"/>
      </rPr>
      <t>p</t>
    </r>
    <r>
      <rPr>
        <rFont val="Arial"/>
        <i/>
        <color theme="1"/>
        <sz val="9.0"/>
      </rPr>
      <t xml:space="preserve"> Estimates are preliminary and may change</t>
    </r>
  </si>
  <si>
    <r>
      <rPr>
        <rFont val="Arial"/>
        <color theme="1"/>
        <sz val="12.0"/>
      </rPr>
      <t>Table #. Number and Proportion of Households with Access to Television by Type Services and Region, Philippines: 2019</t>
    </r>
    <r>
      <rPr>
        <rFont val="Arial"/>
        <color theme="1"/>
        <sz val="12.0"/>
        <vertAlign val="superscript"/>
      </rPr>
      <t>r</t>
    </r>
    <r>
      <rPr>
        <rFont val="Arial"/>
        <color theme="1"/>
        <sz val="12.0"/>
      </rPr>
      <t xml:space="preserve"> and 2024</t>
    </r>
    <r>
      <rPr>
        <rFont val="Arial"/>
        <color theme="1"/>
        <sz val="12.0"/>
        <vertAlign val="superscript"/>
      </rPr>
      <t>p</t>
    </r>
  </si>
  <si>
    <t>Households With Access to Television</t>
  </si>
  <si>
    <t>Type of Television Services</t>
  </si>
  <si>
    <t>Analog Antenna</t>
  </si>
  <si>
    <t>Cable TV (CATV)</t>
  </si>
  <si>
    <t>Direct-to-home (DTH)</t>
  </si>
  <si>
    <t>Digital terrestrial TV (DTT)</t>
  </si>
  <si>
    <t>Internet-protocol TV (IPTV)</t>
  </si>
  <si>
    <r>
      <rPr>
        <rFont val="Arial"/>
        <color theme="1"/>
        <sz val="12.0"/>
      </rPr>
      <t>Table #. Number and Proportion of Individuals Who Have an Online Bank Account, Online Selling Account, and Online Buying Account by Region, Philippines: 2019</t>
    </r>
    <r>
      <rPr>
        <rFont val="Arial"/>
        <color theme="1"/>
        <sz val="12.0"/>
        <vertAlign val="superscript"/>
      </rPr>
      <t>r</t>
    </r>
    <r>
      <rPr>
        <rFont val="Arial"/>
        <color theme="1"/>
        <sz val="12.0"/>
      </rPr>
      <t xml:space="preserve"> and 2024</t>
    </r>
    <r>
      <rPr>
        <rFont val="Arial"/>
        <color theme="1"/>
        <sz val="12.0"/>
        <vertAlign val="superscript"/>
      </rPr>
      <t>p</t>
    </r>
  </si>
  <si>
    <t>Online Bank Account</t>
  </si>
  <si>
    <t>Online Selling/
Buying Account</t>
  </si>
  <si>
    <t>Online Selling Account</t>
  </si>
  <si>
    <t>Online Buying Account</t>
  </si>
  <si>
    <r>
      <rPr>
        <rFont val="Arial"/>
        <color theme="1"/>
        <sz val="12.0"/>
      </rPr>
      <t>Table #. Number and Proportion of Individuals With ICT Device and Active SIM Who Have an Electronic/Mobile Money Account by Region, Philippines: 2019</t>
    </r>
    <r>
      <rPr>
        <rFont val="Arial"/>
        <color theme="1"/>
        <sz val="12.0"/>
        <vertAlign val="superscript"/>
      </rPr>
      <t>r</t>
    </r>
    <r>
      <rPr>
        <rFont val="Arial"/>
        <color theme="1"/>
        <sz val="12.0"/>
      </rPr>
      <t xml:space="preserve"> and 2024</t>
    </r>
    <r>
      <rPr>
        <rFont val="Arial"/>
        <color theme="1"/>
        <sz val="12.0"/>
        <vertAlign val="superscript"/>
      </rPr>
      <t>p</t>
    </r>
  </si>
  <si>
    <t>Electronic/Mobile 
Money Account</t>
  </si>
  <si>
    <r>
      <rPr>
        <rFont val="Arial"/>
        <i/>
        <color theme="1"/>
        <sz val="9.0"/>
        <vertAlign val="superscript"/>
      </rPr>
      <t>p</t>
    </r>
    <r>
      <rPr>
        <rFont val="Arial"/>
        <i/>
        <color theme="1"/>
        <sz val="9.0"/>
      </rPr>
      <t xml:space="preserve"> Estimates are preliminary and may change</t>
    </r>
  </si>
  <si>
    <r>
      <rPr>
        <rFont val="Arial"/>
        <i/>
        <color theme="1"/>
        <sz val="9.0"/>
        <vertAlign val="superscript"/>
      </rPr>
      <t>r</t>
    </r>
    <r>
      <rPr>
        <rFont val="Arial"/>
        <i/>
        <color theme="1"/>
        <sz val="9.0"/>
      </rPr>
      <t xml:space="preserve"> Revised</t>
    </r>
  </si>
  <si>
    <r>
      <rPr>
        <rFont val="Arial"/>
        <i/>
        <color theme="1"/>
        <sz val="9.0"/>
        <vertAlign val="superscript"/>
      </rPr>
      <t>p</t>
    </r>
    <r>
      <rPr>
        <rFont val="Arial"/>
        <i/>
        <color theme="1"/>
        <sz val="9.0"/>
      </rPr>
      <t xml:space="preserve"> Estimates are preliminary and may change</t>
    </r>
  </si>
  <si>
    <r>
      <rPr>
        <rFont val="Arial"/>
        <i/>
        <color theme="1"/>
        <sz val="9.0"/>
        <vertAlign val="superscript"/>
      </rPr>
      <t>r</t>
    </r>
    <r>
      <rPr>
        <rFont val="Arial"/>
        <i/>
        <color theme="1"/>
        <sz val="9.0"/>
      </rPr>
      <t xml:space="preserve"> Revised</t>
    </r>
  </si>
  <si>
    <r>
      <rPr>
        <rFont val="Arial"/>
        <i/>
        <color theme="1"/>
        <sz val="9.0"/>
        <vertAlign val="superscript"/>
      </rPr>
      <t>p</t>
    </r>
    <r>
      <rPr>
        <rFont val="Arial"/>
        <i/>
        <color theme="1"/>
        <sz val="9.0"/>
      </rPr>
      <t xml:space="preserve"> Estimates are preliminary and may change</t>
    </r>
  </si>
  <si>
    <r>
      <rPr>
        <rFont val="Arial"/>
        <i/>
        <color theme="1"/>
        <sz val="9.0"/>
        <vertAlign val="superscript"/>
      </rPr>
      <t>r</t>
    </r>
    <r>
      <rPr>
        <rFont val="Arial"/>
        <i/>
        <color theme="1"/>
        <sz val="9.0"/>
      </rPr>
      <t xml:space="preserve"> Revised</t>
    </r>
  </si>
  <si>
    <r>
      <rPr>
        <rFont val="Arial"/>
        <color theme="1"/>
        <sz val="12.0"/>
      </rPr>
      <t>Table #. Number and Proportion of Online Sellers of Goods/Services Who are Engaged in Online Activities to Earn Money by Type of Activity and Region, Philippines: 2024</t>
    </r>
    <r>
      <rPr>
        <rFont val="Arial"/>
        <color theme="1"/>
        <sz val="12.0"/>
        <vertAlign val="superscript"/>
      </rPr>
      <t>p</t>
    </r>
  </si>
  <si>
    <t>Online Sellers of Goods/Services</t>
  </si>
  <si>
    <t>Type of Online Activities to Earn Money</t>
  </si>
  <si>
    <t>Selling of Goods Online</t>
  </si>
  <si>
    <t>Creative Content Creation</t>
  </si>
  <si>
    <t>Professional Services</t>
  </si>
  <si>
    <t>Use of Mobile Application to Transport People</t>
  </si>
  <si>
    <t>Delivering Meals or Shopping for Customers</t>
  </si>
  <si>
    <t>Renting Out Property 
to Clients Found via 
Online Platform</t>
  </si>
  <si>
    <r>
      <rPr>
        <rFont val="Arial"/>
        <color theme="1"/>
        <sz val="12.0"/>
      </rPr>
      <t>Table #. Number and Proportion of Online Sellers of Goods by Type of Goods Sold and Region, Philippines: 2024</t>
    </r>
    <r>
      <rPr>
        <rFont val="Arial"/>
        <color theme="1"/>
        <sz val="12.0"/>
        <vertAlign val="superscript"/>
      </rPr>
      <t>p</t>
    </r>
  </si>
  <si>
    <r>
      <rPr>
        <rFont val="Arial"/>
        <i/>
        <color theme="1"/>
        <sz val="9.0"/>
        <vertAlign val="superscript"/>
      </rPr>
      <t>p</t>
    </r>
    <r>
      <rPr>
        <rFont val="Arial"/>
        <i/>
        <color theme="1"/>
        <sz val="9.0"/>
      </rPr>
      <t xml:space="preserve"> Estimates are preliminary and may change</t>
    </r>
  </si>
  <si>
    <t>Online Sellers of Goods</t>
  </si>
  <si>
    <t>Type of Goods Sold Online</t>
  </si>
  <si>
    <t>Books, magazines, or newspapers</t>
  </si>
  <si>
    <t>Clothing, footwear, sporting goods or accessories</t>
  </si>
  <si>
    <t>Computer equipment or parts</t>
  </si>
  <si>
    <t>Computer or video games</t>
  </si>
  <si>
    <t>Computer software</t>
  </si>
  <si>
    <t>Consumer electronics and accessories</t>
  </si>
  <si>
    <t>Cosmetics and fragrances</t>
  </si>
  <si>
    <t>Financial products</t>
  </si>
  <si>
    <t>Food, groceries, alcohol or tobacco</t>
  </si>
  <si>
    <t>Household goods</t>
  </si>
  <si>
    <t>Music downloads and music streaming subscription</t>
  </si>
  <si>
    <t>Medicine</t>
  </si>
  <si>
    <t>Video downloads and video streaming</t>
  </si>
  <si>
    <t>Subscriptions</t>
  </si>
  <si>
    <t>Tickets or bookings for entertainment events</t>
  </si>
  <si>
    <t>Travel products</t>
  </si>
  <si>
    <r>
      <rPr>
        <rFont val="Arial"/>
        <color theme="1"/>
        <sz val="12.0"/>
      </rPr>
      <t>Table #. Number and Proportion of Online Sellers of Goods by Type of Online Site or Mobile Application Used and Region, Philippines: 2024</t>
    </r>
    <r>
      <rPr>
        <rFont val="Arial"/>
        <color theme="1"/>
        <sz val="12.0"/>
        <vertAlign val="superscript"/>
      </rPr>
      <t>p</t>
    </r>
  </si>
  <si>
    <r>
      <rPr>
        <rFont val="Arial"/>
        <color theme="1"/>
        <sz val="12.0"/>
      </rPr>
      <t>Table #. Number and Proportion of Online Sellers of Goods by Mode of Payment Being Accepted and Region, Philippines: 2024</t>
    </r>
    <r>
      <rPr>
        <rFont val="Arial"/>
        <color theme="1"/>
        <sz val="12.0"/>
        <vertAlign val="superscript"/>
      </rPr>
      <t>p</t>
    </r>
  </si>
  <si>
    <t>Type of Online Site or Mobile Application Used</t>
  </si>
  <si>
    <t>E-commerce website</t>
  </si>
  <si>
    <t>E-commerce mobile application</t>
  </si>
  <si>
    <t>Your own website</t>
  </si>
  <si>
    <t>Social media site</t>
  </si>
  <si>
    <t>Mode of Payment Being Accepted</t>
  </si>
  <si>
    <t>Online Banking/Debit/ Credit/Prepaid Card</t>
  </si>
  <si>
    <t>Electronic/Mobile wallet</t>
  </si>
  <si>
    <t>Over-the-Counter</t>
  </si>
  <si>
    <t>Cash on Delivery</t>
  </si>
  <si>
    <r>
      <rPr>
        <rFont val="Arial"/>
        <i/>
        <color theme="1"/>
        <sz val="9.0"/>
        <vertAlign val="superscript"/>
      </rPr>
      <t>p</t>
    </r>
    <r>
      <rPr>
        <rFont val="Arial"/>
        <i/>
        <color theme="1"/>
        <sz val="9.0"/>
      </rPr>
      <t xml:space="preserve"> Estimates are preliminary and may change</t>
    </r>
  </si>
  <si>
    <r>
      <rPr>
        <rFont val="Arial"/>
        <i/>
        <color theme="1"/>
        <sz val="9.0"/>
        <vertAlign val="superscript"/>
      </rPr>
      <t>p</t>
    </r>
    <r>
      <rPr>
        <rFont val="Arial"/>
        <i/>
        <color theme="1"/>
        <sz val="9.0"/>
      </rPr>
      <t xml:space="preserve"> Estimates are preliminary and may change</t>
    </r>
  </si>
  <si>
    <r>
      <rPr>
        <rFont val="Arial"/>
        <color theme="1"/>
        <sz val="12.0"/>
      </rPr>
      <t>Table #. Number and Proportion of Internet Users Who Purchased Goods and/or Services Online by Type of Goods/Services Purchased Online and Region, Philippines: 2019 and 2024</t>
    </r>
    <r>
      <rPr>
        <rFont val="Arial"/>
        <color theme="1"/>
        <sz val="12.0"/>
        <vertAlign val="superscript"/>
      </rPr>
      <t>p</t>
    </r>
  </si>
  <si>
    <t>Internet Users</t>
  </si>
  <si>
    <t>Purchased Goods 
and/or Services Online</t>
  </si>
  <si>
    <t>Type of Goods/Services Purchased Online</t>
  </si>
  <si>
    <t>Books, Magazines, or Newspapers</t>
  </si>
  <si>
    <t>Clothing, Footwear, Sporting Goods, or Accessories</t>
  </si>
  <si>
    <t>Computer Equipment or Parts</t>
  </si>
  <si>
    <t>Computer or Video Games</t>
  </si>
  <si>
    <t>Computer Software</t>
  </si>
  <si>
    <t>Consumer Electronics 
and Accessories</t>
  </si>
  <si>
    <t>Cosmetics and Fragrances</t>
  </si>
  <si>
    <t>Creative Content</t>
  </si>
  <si>
    <t>Financial Products</t>
  </si>
  <si>
    <t>Food, Groceries, 
Alcohol, or Tobacco</t>
  </si>
  <si>
    <t>Household Goods</t>
  </si>
  <si>
    <t>Music Downloads and Music Streaming</t>
  </si>
  <si>
    <t>Video Downloads and Video Streaming</t>
  </si>
  <si>
    <t>Tickets or Bookings for Entertainment Events</t>
  </si>
  <si>
    <t>Travel Products</t>
  </si>
  <si>
    <r>
      <rPr>
        <rFont val="Arial"/>
        <i/>
        <color theme="1"/>
        <sz val="9.0"/>
        <vertAlign val="superscript"/>
      </rPr>
      <t>p</t>
    </r>
    <r>
      <rPr>
        <rFont val="Arial"/>
        <i/>
        <color theme="1"/>
        <sz val="9.0"/>
      </rPr>
      <t xml:space="preserve"> Estimates are preliminary and may change</t>
    </r>
  </si>
  <si>
    <r>
      <rPr>
        <rFont val="Arial"/>
        <color theme="1"/>
        <sz val="12.0"/>
      </rPr>
      <t>Table #. Number and Proportion of Internet Users Who Purchased Goods/Services Online by Type of Online Site or Mobile Application Used and Region, Philippines: 2019 and 2024</t>
    </r>
    <r>
      <rPr>
        <rFont val="Arial"/>
        <color theme="1"/>
        <sz val="12.0"/>
        <vertAlign val="superscript"/>
      </rPr>
      <t>p</t>
    </r>
  </si>
  <si>
    <t>Internet Users Who Purchased Goods/Services Online</t>
  </si>
  <si>
    <r>
      <rPr>
        <rFont val="Arial"/>
        <color theme="1"/>
        <sz val="12.0"/>
      </rPr>
      <t>Table #. Number and Proportion of Internet Users Who Purchased Goods/Services Online by Type of Device Used and Region, Philippines: 2019 and 2024</t>
    </r>
    <r>
      <rPr>
        <rFont val="Arial"/>
        <color theme="1"/>
        <sz val="12.0"/>
        <vertAlign val="superscript"/>
      </rPr>
      <t>p</t>
    </r>
  </si>
  <si>
    <t>Official store website</t>
  </si>
  <si>
    <r>
      <rPr>
        <rFont val="Arial"/>
        <i/>
        <color theme="1"/>
        <sz val="9.0"/>
        <vertAlign val="superscript"/>
      </rPr>
      <t>p</t>
    </r>
    <r>
      <rPr>
        <rFont val="Arial"/>
        <i/>
        <color theme="1"/>
        <sz val="9.0"/>
      </rPr>
      <t xml:space="preserve"> Estimates are preliminary and may change</t>
    </r>
  </si>
  <si>
    <r>
      <rPr>
        <rFont val="Arial"/>
        <i/>
        <color theme="1"/>
        <sz val="9.0"/>
        <vertAlign val="superscript"/>
      </rPr>
      <t>p</t>
    </r>
    <r>
      <rPr>
        <rFont val="Arial"/>
        <i/>
        <color theme="1"/>
        <sz val="9.0"/>
      </rPr>
      <t xml:space="preserve"> Estimates are preliminary and may change</t>
    </r>
  </si>
  <si>
    <r>
      <rPr>
        <rFont val="Arial"/>
        <color theme="1"/>
        <sz val="12.0"/>
      </rPr>
      <t>Table #. Number and Proportion of Individuals Who Purchased Goods/Services Online by Type of Delivery/Fulfillment Method Chosen and Region, Philippines: 2019 and 2024</t>
    </r>
    <r>
      <rPr>
        <rFont val="Arial"/>
        <color theme="1"/>
        <sz val="12.0"/>
        <vertAlign val="superscript"/>
      </rPr>
      <t>p</t>
    </r>
  </si>
  <si>
    <t>Type of Delivery/Fulfillment Method</t>
  </si>
  <si>
    <t>Delivery</t>
  </si>
  <si>
    <t>Meet-Up</t>
  </si>
  <si>
    <t>Pick Up</t>
  </si>
  <si>
    <r>
      <rPr>
        <rFont val="Arial"/>
        <color theme="1"/>
        <sz val="12.0"/>
      </rPr>
      <t>Table #. Number and Proportion of Internet Users Who Purchased Goods/Services Online by Mode of Payment Used and Region, Philippines: 20149 and 2024</t>
    </r>
    <r>
      <rPr>
        <rFont val="Arial"/>
        <color theme="1"/>
        <sz val="12.0"/>
        <vertAlign val="superscript"/>
      </rPr>
      <t>p</t>
    </r>
  </si>
  <si>
    <t>Individuals Who Purchased Goods/Services Online</t>
  </si>
  <si>
    <t>Mode of Payment Used</t>
  </si>
  <si>
    <t>Online Banking/ Application/Debit/Credit/ Prepaid Card/Rewards/ Loyalty Points</t>
  </si>
  <si>
    <t>Electronic/Mobile Wallet</t>
  </si>
  <si>
    <r>
      <rPr>
        <rFont val="Arial"/>
        <i/>
        <color theme="1"/>
        <sz val="9.0"/>
        <vertAlign val="superscript"/>
      </rPr>
      <t>p</t>
    </r>
    <r>
      <rPr>
        <rFont val="Arial"/>
        <i/>
        <color theme="1"/>
        <sz val="9.0"/>
      </rPr>
      <t xml:space="preserve"> Estimates are preliminary and may change</t>
    </r>
  </si>
  <si>
    <r>
      <rPr>
        <rFont val="Arial"/>
        <color theme="1"/>
        <sz val="12.0"/>
      </rPr>
      <t>Table #. Number and Proportion of Individuals Who are Not Using Electronic Payments on Online Purchases by Reason and Region, Philippines: 2019 and 2024</t>
    </r>
    <r>
      <rPr>
        <rFont val="Arial"/>
        <color theme="1"/>
        <sz val="12.0"/>
        <vertAlign val="superscript"/>
      </rPr>
      <t>p</t>
    </r>
  </si>
  <si>
    <t>Individuals Who are Not Using Electronic Payments</t>
  </si>
  <si>
    <t>Reasons for Not Using Electronic Payments on Online Purchases</t>
  </si>
  <si>
    <t>Not Aware 
of Electronic Payment</t>
  </si>
  <si>
    <t>No Means 
for Electronic Payment</t>
  </si>
  <si>
    <t>Security Concerns</t>
  </si>
  <si>
    <t>Sellers do not Accept Electronic Payment</t>
  </si>
  <si>
    <r>
      <rPr>
        <rFont val="Arial"/>
        <i/>
        <color theme="1"/>
        <sz val="9.0"/>
        <vertAlign val="superscript"/>
      </rPr>
      <t>p</t>
    </r>
    <r>
      <rPr>
        <rFont val="Arial"/>
        <i/>
        <color theme="1"/>
        <sz val="9.0"/>
      </rPr>
      <t xml:space="preserve"> Estimates are preliminary and may change</t>
    </r>
  </si>
  <si>
    <r>
      <rPr>
        <rFont val="Arial"/>
        <i/>
        <color theme="1"/>
        <sz val="9.0"/>
        <vertAlign val="superscript"/>
      </rPr>
      <t>p</t>
    </r>
    <r>
      <rPr>
        <rFont val="Arial"/>
        <i/>
        <color theme="1"/>
        <sz val="9.0"/>
      </rPr>
      <t xml:space="preserve"> Estimates are preliminary and may change</t>
    </r>
  </si>
  <si>
    <r>
      <rPr>
        <rFont val="Arial"/>
        <color theme="1"/>
        <sz val="12.0"/>
      </rPr>
      <t>Table #. Number and Proportion of Individuals Who are Not Purchasing Online by Type of Reason and Region, Philippines: 2024</t>
    </r>
    <r>
      <rPr>
        <rFont val="Arial"/>
        <color theme="1"/>
        <sz val="12.0"/>
        <vertAlign val="superscript"/>
      </rPr>
      <t>p</t>
    </r>
  </si>
  <si>
    <t>Individuals Who are Not Purchasing Online</t>
  </si>
  <si>
    <t>Reasons for Not Purchasing Online</t>
  </si>
  <si>
    <t>Not Interested</t>
  </si>
  <si>
    <t>Prefer to Shop in Person</t>
  </si>
  <si>
    <t>Security Concern</t>
  </si>
  <si>
    <t>Privacy Concerns</t>
  </si>
  <si>
    <t>Trust Concerns</t>
  </si>
  <si>
    <t>Lack of Knowledge or Skills</t>
  </si>
  <si>
    <r>
      <rPr>
        <rFont val="Arial"/>
        <i/>
        <color theme="1"/>
        <sz val="9.0"/>
        <vertAlign val="superscript"/>
      </rPr>
      <t>p</t>
    </r>
    <r>
      <rPr>
        <rFont val="Arial"/>
        <i/>
        <color theme="1"/>
        <sz val="9.0"/>
      </rPr>
      <t xml:space="preserve"> Estimates are preliminary and may change</t>
    </r>
  </si>
  <si>
    <r>
      <rPr>
        <rFont val="Arial"/>
        <color theme="1"/>
        <sz val="12.0"/>
      </rPr>
      <t>Table #. Number and Proportion of Individuals Who are Aware of Any Government Websites or Online Services and Using the Internet to Access Government Websites/Services by Region, Philippines: 2024</t>
    </r>
    <r>
      <rPr>
        <rFont val="Arial"/>
        <color theme="1"/>
        <sz val="12.0"/>
        <vertAlign val="superscript"/>
      </rPr>
      <t>p</t>
    </r>
  </si>
  <si>
    <t>Internet user</t>
  </si>
  <si>
    <t>Using the Internet to Access Government Websites or Services</t>
  </si>
  <si>
    <t>Aware of Any 
Government Websites 
or Online Services</t>
  </si>
  <si>
    <r>
      <rPr>
        <rFont val="Arial"/>
        <i/>
        <color theme="1"/>
        <sz val="9.0"/>
        <vertAlign val="superscript"/>
      </rPr>
      <t>p</t>
    </r>
    <r>
      <rPr>
        <rFont val="Arial"/>
        <i/>
        <color theme="1"/>
        <sz val="9.0"/>
      </rPr>
      <t xml:space="preserve"> Estimates are preliminary and may change</t>
    </r>
  </si>
  <si>
    <r>
      <rPr>
        <rFont val="Arial"/>
        <i/>
        <color theme="1"/>
        <sz val="9.0"/>
        <vertAlign val="superscript"/>
      </rPr>
      <t>p</t>
    </r>
    <r>
      <rPr>
        <rFont val="Arial"/>
        <i/>
        <color theme="1"/>
        <sz val="9.0"/>
      </rPr>
      <t xml:space="preserve"> Estimates are preliminary and may change</t>
    </r>
  </si>
  <si>
    <r>
      <rPr>
        <rFont val="Arial"/>
        <color theme="1"/>
        <sz val="12.0"/>
      </rPr>
      <t>Table #. Number and Proportion of Individuals Who Used the Internet and Accessed Online Government Websites/Services by Website/Service and Region, Philippines: 2019 and 2024</t>
    </r>
    <r>
      <rPr>
        <rFont val="Arial"/>
        <color theme="1"/>
        <sz val="12.0"/>
        <vertAlign val="superscript"/>
      </rPr>
      <t>p</t>
    </r>
  </si>
  <si>
    <t>Individuals Who Used the Internet and Accessed Online Government Websites/Services</t>
  </si>
  <si>
    <t>Type of Online Government Websites/Services</t>
  </si>
  <si>
    <t>Business and trade</t>
  </si>
  <si>
    <t>Certificates and Ids</t>
  </si>
  <si>
    <t>Contributions</t>
  </si>
  <si>
    <t>Disaster and weather</t>
  </si>
  <si>
    <t>Education</t>
  </si>
  <si>
    <t>Employment</t>
  </si>
  <si>
    <t>Health</t>
  </si>
  <si>
    <t>Housing</t>
  </si>
  <si>
    <t>Passport and travel</t>
  </si>
  <si>
    <t>Social service</t>
  </si>
  <si>
    <t>Tax</t>
  </si>
  <si>
    <t>Transportation and driving</t>
  </si>
  <si>
    <t>Finance</t>
  </si>
  <si>
    <t>News and press releases</t>
  </si>
  <si>
    <t>Local government websites</t>
  </si>
  <si>
    <t>Research, data, statistics</t>
  </si>
  <si>
    <r>
      <rPr>
        <rFont val="Arial"/>
        <color theme="1"/>
        <sz val="12.0"/>
      </rPr>
      <t>Table #. Number and Proportion of Individuals Who Used the Internet and Accessed Online Government Websites/Services by Type of Online Platform and Region, Philippines: 2024</t>
    </r>
    <r>
      <rPr>
        <rFont val="Arial"/>
        <color theme="1"/>
        <sz val="12.0"/>
        <vertAlign val="superscript"/>
      </rPr>
      <t>p</t>
    </r>
  </si>
  <si>
    <t>Type of Online Platform</t>
  </si>
  <si>
    <r>
      <rPr>
        <rFont val="Arial"/>
        <color theme="1"/>
        <sz val="12.0"/>
      </rPr>
      <t>Table #. Number and Proportion of Individuals Aware of Cybersecurity or Data Privacy by Region, Philippines: 2019</t>
    </r>
    <r>
      <rPr>
        <rFont val="Arial"/>
        <color theme="1"/>
        <sz val="12.0"/>
        <vertAlign val="superscript"/>
      </rPr>
      <t>r</t>
    </r>
    <r>
      <rPr>
        <rFont val="Arial"/>
        <color theme="1"/>
        <sz val="12.0"/>
      </rPr>
      <t xml:space="preserve"> and 2024</t>
    </r>
    <r>
      <rPr>
        <rFont val="Arial"/>
        <color theme="1"/>
        <sz val="12.0"/>
        <vertAlign val="superscript"/>
      </rPr>
      <t>p</t>
    </r>
  </si>
  <si>
    <t>Aware of Cybersecurity 
or Data Privacy</t>
  </si>
  <si>
    <r>
      <rPr>
        <rFont val="Arial"/>
        <i/>
        <color theme="1"/>
        <sz val="9.0"/>
        <vertAlign val="superscript"/>
      </rPr>
      <t>p</t>
    </r>
    <r>
      <rPr>
        <rFont val="Arial"/>
        <i/>
        <color theme="1"/>
        <sz val="9.0"/>
      </rPr>
      <t xml:space="preserve"> Estimates are preliminary and may change</t>
    </r>
  </si>
  <si>
    <r>
      <rPr>
        <rFont val="Arial"/>
        <color theme="1"/>
        <sz val="12.0"/>
      </rPr>
      <t>Table #. Number and Proportion of Individuals Using an ICT Device Who Experienced Any Cyber Incidents by Region, Philippines: 2024</t>
    </r>
    <r>
      <rPr>
        <rFont val="Arial"/>
        <color theme="1"/>
        <sz val="12.0"/>
        <vertAlign val="superscript"/>
      </rPr>
      <t>p</t>
    </r>
  </si>
  <si>
    <t>Experienced Any 
Cyber Incidents</t>
  </si>
  <si>
    <t>Individuals Using an ICT Device</t>
  </si>
  <si>
    <r>
      <rPr>
        <rFont val="Arial"/>
        <i/>
        <color theme="1"/>
        <sz val="9.0"/>
        <vertAlign val="superscript"/>
      </rPr>
      <t>p</t>
    </r>
    <r>
      <rPr>
        <rFont val="Arial"/>
        <i/>
        <color theme="1"/>
        <sz val="9.0"/>
      </rPr>
      <t xml:space="preserve"> Estimates are preliminary and may change</t>
    </r>
  </si>
  <si>
    <r>
      <rPr>
        <rFont val="Arial"/>
        <i/>
        <color theme="1"/>
        <sz val="9.0"/>
        <vertAlign val="superscript"/>
      </rPr>
      <t>r</t>
    </r>
    <r>
      <rPr>
        <rFont val="Arial"/>
        <i/>
        <color theme="1"/>
        <sz val="9.0"/>
      </rPr>
      <t xml:space="preserve"> Revised</t>
    </r>
  </si>
  <si>
    <r>
      <rPr>
        <rFont val="Arial"/>
        <color theme="1"/>
        <sz val="12.0"/>
      </rPr>
      <t>Table #. Number and Proportion of Individuals Using an ICT Device Who Experienced Any Cyber Incidents, Reported a Cyber Incident, Victim of Cyber Incident by Type of Incident, and Reported Being a Victim of Cyber Incident by Region, Philippines: 2019 and 2024</t>
    </r>
    <r>
      <rPr>
        <rFont val="Arial"/>
        <color theme="1"/>
        <sz val="12.0"/>
        <vertAlign val="superscript"/>
      </rPr>
      <t>p</t>
    </r>
  </si>
  <si>
    <t>Individuals Who Experienced Any 
Cyber Incidents</t>
  </si>
  <si>
    <t>Reported a Cyber Incident</t>
  </si>
  <si>
    <t>Victim of SMS Fraud</t>
  </si>
  <si>
    <t>Victim of Hacking</t>
  </si>
  <si>
    <t>Victim of Phishing</t>
  </si>
  <si>
    <t>Victim of Cyber Bullying/ Cyber Libel</t>
  </si>
  <si>
    <t>Victim of Other Cyber Incidents</t>
  </si>
  <si>
    <t>Reported Being a Victim of Cyber Incident</t>
  </si>
  <si>
    <r>
      <rPr>
        <rFont val="Arial"/>
        <i/>
        <color theme="1"/>
        <sz val="9.0"/>
        <vertAlign val="superscript"/>
      </rPr>
      <t>p</t>
    </r>
    <r>
      <rPr>
        <rFont val="Arial"/>
        <i/>
        <color theme="1"/>
        <sz val="9.0"/>
      </rPr>
      <t xml:space="preserve"> Estimates are preliminary and may change</t>
    </r>
  </si>
  <si>
    <r>
      <rPr>
        <rFont val="Arial"/>
        <color theme="1"/>
        <sz val="12.0"/>
      </rPr>
      <t>Table #. Number and Proportion of Individuals Who are Using Artificial Intelligence Applications, Familiar with the Concept of Artificial Intelligence, Aware that Many Everyday Devices and Applications Uses Artificial Intelligence, Feel Safe or Comfortable Using Artificial Intelligence, and Thinks that Using Artificial Intelligence is Reliable by Region, Philippines: 2024</t>
    </r>
    <r>
      <rPr>
        <rFont val="Arial"/>
        <color theme="1"/>
        <sz val="12.0"/>
        <vertAlign val="superscript"/>
      </rPr>
      <t>p</t>
    </r>
  </si>
  <si>
    <t>Uses AI Applications</t>
  </si>
  <si>
    <t>Familiar with 
the Concept of AI</t>
  </si>
  <si>
    <t>Aware that Many 
Everyday Devices and Applications Uses AI</t>
  </si>
  <si>
    <t>Feel Safe or 
Comfortable Using AI</t>
  </si>
  <si>
    <t>Thinks that 
Using AI is Reliable</t>
  </si>
  <si>
    <r>
      <rPr>
        <rFont val="Arial"/>
        <color theme="1"/>
        <sz val="12.0"/>
      </rPr>
      <t>Table #. Number and Proportion of Individuals Who are Aware and Knowledgeable About E-Waste by Source of Information and Region, Philippines: 2024</t>
    </r>
    <r>
      <rPr>
        <rFont val="Arial"/>
        <color theme="1"/>
        <sz val="12.0"/>
        <vertAlign val="superscript"/>
      </rPr>
      <t>p</t>
    </r>
  </si>
  <si>
    <t>Aware of E-Waste</t>
  </si>
  <si>
    <t>Source of Information</t>
  </si>
  <si>
    <t>Radio</t>
  </si>
  <si>
    <t>Word of Mouth</t>
  </si>
  <si>
    <t>Printed Materials</t>
  </si>
  <si>
    <r>
      <rPr>
        <rFont val="Arial"/>
        <i/>
        <color theme="1"/>
        <sz val="9.0"/>
        <vertAlign val="superscript"/>
      </rPr>
      <t>p</t>
    </r>
    <r>
      <rPr>
        <rFont val="Arial"/>
        <i/>
        <color theme="1"/>
        <sz val="9.0"/>
      </rPr>
      <t xml:space="preserve"> Estimates are preliminary and may change</t>
    </r>
  </si>
  <si>
    <r>
      <rPr>
        <rFont val="Arial"/>
        <i/>
        <color theme="1"/>
        <sz val="9.0"/>
        <vertAlign val="superscript"/>
      </rPr>
      <t>p</t>
    </r>
    <r>
      <rPr>
        <rFont val="Arial"/>
        <i/>
        <color theme="1"/>
        <sz val="9.0"/>
      </rPr>
      <t xml:space="preserve"> Estimates are preliminary and may change</t>
    </r>
  </si>
  <si>
    <r>
      <rPr>
        <rFont val="Arial"/>
        <i/>
        <color theme="1"/>
        <sz val="9.0"/>
        <vertAlign val="superscript"/>
      </rPr>
      <t>p</t>
    </r>
    <r>
      <rPr>
        <rFont val="Arial"/>
        <i/>
        <color theme="1"/>
        <sz val="9.0"/>
      </rPr>
      <t xml:space="preserve"> Estimates are preliminary and may change</t>
    </r>
  </si>
  <si>
    <r>
      <rPr>
        <rFont val="Arial"/>
        <i/>
        <color theme="1"/>
        <sz val="9.0"/>
        <vertAlign val="superscript"/>
      </rPr>
      <t>p</t>
    </r>
    <r>
      <rPr>
        <rFont val="Arial"/>
        <i/>
        <color theme="1"/>
        <sz val="9.0"/>
      </rPr>
      <t xml:space="preserve"> Estimates are preliminary and may change</t>
    </r>
  </si>
  <si>
    <r>
      <rPr>
        <rFont val="Arial"/>
        <color theme="1"/>
        <sz val="12.0"/>
      </rPr>
      <t>Table #. Number and Proportion of Individuals Who Have Disposed an Electronic Device/Appliance by Region, Philippines: 2024</t>
    </r>
    <r>
      <rPr>
        <rFont val="Arial"/>
        <color theme="1"/>
        <sz val="12.0"/>
        <vertAlign val="superscript"/>
      </rPr>
      <t>p</t>
    </r>
  </si>
  <si>
    <t>Have Disposed an Electronic Device/Appliance</t>
  </si>
  <si>
    <r>
      <rPr>
        <rFont val="Arial"/>
        <i/>
        <color theme="1"/>
        <sz val="9.0"/>
        <vertAlign val="superscript"/>
      </rPr>
      <t>p</t>
    </r>
    <r>
      <rPr>
        <rFont val="Arial"/>
        <i/>
        <color theme="1"/>
        <sz val="9.0"/>
      </rPr>
      <t xml:space="preserve"> Estimates are preliminary and may change</t>
    </r>
  </si>
  <si>
    <r>
      <rPr>
        <rFont val="Arial"/>
        <color theme="1"/>
        <sz val="12.0"/>
      </rPr>
      <t>Table #. Number and Proportion of Individuals by Source of Information About a Disaster by Region, Philippines: 2024</t>
    </r>
    <r>
      <rPr>
        <rFont val="Arial"/>
        <color theme="1"/>
        <sz val="12.0"/>
        <vertAlign val="superscript"/>
      </rPr>
      <t>p</t>
    </r>
  </si>
  <si>
    <t>Online Publications</t>
  </si>
  <si>
    <t>Newspapers and Magazines</t>
  </si>
  <si>
    <t>Personal Network</t>
  </si>
  <si>
    <t>Barangay Announcements</t>
  </si>
  <si>
    <t>Emergency Mobile Alerts</t>
  </si>
  <si>
    <r>
      <rPr>
        <rFont val="Arial"/>
        <color theme="1"/>
        <sz val="12.0"/>
      </rPr>
      <t>Table #. Number and Proportion of Individuals by Most Effective Means of Receiving Information on Making Household Safe from Natural Disasters by Region, Philippines: 2024</t>
    </r>
    <r>
      <rPr>
        <rFont val="Arial"/>
        <color theme="1"/>
        <sz val="12.0"/>
        <vertAlign val="superscript"/>
      </rPr>
      <t>p</t>
    </r>
  </si>
  <si>
    <t>Mobile Device</t>
  </si>
  <si>
    <r>
      <rPr>
        <rFont val="Arial"/>
        <color theme="1"/>
        <sz val="12.0"/>
      </rPr>
      <t>Table #. Number and Proportion of Individuals Who Have Received Any Emergency Mobile Alerts by Region, Philippines: 2024</t>
    </r>
    <r>
      <rPr>
        <rFont val="Arial"/>
        <color theme="1"/>
        <sz val="12.0"/>
        <vertAlign val="superscript"/>
      </rPr>
      <t>p</t>
    </r>
  </si>
  <si>
    <t>Received Any 
Emergency Mobile Alerts</t>
  </si>
  <si>
    <r>
      <rPr>
        <rFont val="Arial"/>
        <i/>
        <color theme="1"/>
        <sz val="9.0"/>
        <vertAlign val="superscript"/>
      </rPr>
      <t>p</t>
    </r>
    <r>
      <rPr>
        <rFont val="Arial"/>
        <i/>
        <color theme="1"/>
        <sz val="9.0"/>
      </rPr>
      <t xml:space="preserve"> Estimates are preliminary and may change</t>
    </r>
  </si>
  <si>
    <r>
      <rPr>
        <rFont val="Arial"/>
        <i/>
        <color theme="1"/>
        <sz val="9.0"/>
        <vertAlign val="superscript"/>
      </rPr>
      <t>p</t>
    </r>
    <r>
      <rPr>
        <rFont val="Arial"/>
        <i/>
        <color theme="1"/>
        <sz val="9.0"/>
      </rPr>
      <t xml:space="preserve"> Estimates are preliminary and may change</t>
    </r>
  </si>
  <si>
    <r>
      <rPr>
        <rFont val="Arial"/>
        <i/>
        <color theme="1"/>
        <sz val="9.0"/>
        <vertAlign val="superscript"/>
      </rPr>
      <t>p</t>
    </r>
    <r>
      <rPr>
        <rFont val="Arial"/>
        <i/>
        <color theme="1"/>
        <sz val="9.0"/>
      </rPr>
      <t xml:space="preserve"> Estimates are preliminary and may change</t>
    </r>
  </si>
</sst>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_-* #,##0_-;\-* #,##0_-;_-* &quot;-&quot;??_-;_-@"/>
    <numFmt numFmtId="165" formatCode="_-* #,##0.0_-;\-* #,##0.0_-;_-* &quot;-&quot;??_-;_-@"/>
    <numFmt numFmtId="166" formatCode="0.0"/>
    <numFmt numFmtId="167" formatCode="0.0%"/>
    <numFmt numFmtId="168" formatCode="_-* #,##0.00_-;\-* #,##0.00_-;_-* &quot;-&quot;??_-;_-@"/>
    <numFmt numFmtId="169" formatCode="_-* #,##0.0_-;\-* #,##0.0_-;_-* &quot;-&quot;?_-;_-@"/>
  </numFmts>
  <fonts count="13">
    <font>
      <sz val="11.0"/>
      <color theme="1"/>
      <name val="Aptos Narrow"/>
      <scheme val="minor"/>
    </font>
    <font>
      <color theme="1"/>
      <name val="Aptos Narrow"/>
      <scheme val="minor"/>
    </font>
    <font>
      <sz val="11.0"/>
      <color theme="1"/>
      <name val="Aptos Narrow"/>
    </font>
    <font>
      <b/>
      <sz val="11.0"/>
      <color theme="1"/>
      <name val="Aptos Narrow"/>
    </font>
    <font>
      <u/>
      <sz val="11.0"/>
      <color theme="10"/>
      <name val="Aptos Narrow"/>
    </font>
    <font>
      <sz val="12.0"/>
      <color theme="1"/>
      <name val="Arial"/>
    </font>
    <font>
      <sz val="9.0"/>
      <color theme="1"/>
      <name val="Arial"/>
    </font>
    <font>
      <sz val="10.0"/>
      <color theme="1"/>
      <name val="Arial"/>
    </font>
    <font>
      <b/>
      <sz val="11.0"/>
      <color theme="1"/>
      <name val="Arial"/>
    </font>
    <font/>
    <font>
      <sz val="11.0"/>
      <color theme="1"/>
      <name val="Arial"/>
    </font>
    <font>
      <i/>
      <sz val="9.0"/>
      <color theme="1"/>
      <name val="Arial"/>
    </font>
    <font>
      <b/>
      <i/>
      <sz val="9.0"/>
      <color theme="1"/>
      <name val="Arial"/>
    </font>
  </fonts>
  <fills count="3">
    <fill>
      <patternFill patternType="none"/>
    </fill>
    <fill>
      <patternFill patternType="lightGray"/>
    </fill>
    <fill>
      <patternFill patternType="solid">
        <fgColor rgb="FF7F7F7F"/>
        <bgColor rgb="FF7F7F7F"/>
      </patternFill>
    </fill>
  </fills>
  <borders count="15">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
      <left style="thin">
        <color rgb="FF000000"/>
      </left>
      <top style="thin">
        <color rgb="FF000000"/>
      </top>
    </border>
    <border>
      <right style="thin">
        <color rgb="FF000000"/>
      </right>
      <top style="thin">
        <color rgb="FF000000"/>
      </top>
    </border>
    <border>
      <left style="thin">
        <color rgb="FF000000"/>
      </left>
      <bottom style="thin">
        <color rgb="FF000000"/>
      </bottom>
    </border>
    <border>
      <right style="thin">
        <color rgb="FF000000"/>
      </right>
      <bottom style="thin">
        <color rgb="FF000000"/>
      </bottom>
    </border>
    <border>
      <right style="thin">
        <color rgb="FF000000"/>
      </right>
    </border>
    <border>
      <top style="thin">
        <color rgb="FF000000"/>
      </top>
    </border>
    <border>
      <left style="thin">
        <color rgb="FF000000"/>
      </left>
      <right style="thin">
        <color rgb="FF000000"/>
      </right>
      <top/>
      <bottom/>
    </border>
  </borders>
  <cellStyleXfs count="1">
    <xf borderId="0" fillId="0" fontId="0" numFmtId="0" applyAlignment="1" applyFont="1"/>
  </cellStyleXfs>
  <cellXfs count="75">
    <xf borderId="0" fillId="0" fontId="0" numFmtId="0" xfId="0" applyAlignment="1" applyFont="1">
      <alignment readingOrder="0" shrinkToFit="0" vertical="bottom" wrapText="0"/>
    </xf>
    <xf borderId="0" fillId="0" fontId="1" numFmtId="0" xfId="0" applyFont="1"/>
    <xf borderId="0" fillId="0" fontId="2" numFmtId="0" xfId="0" applyAlignment="1" applyFont="1">
      <alignment horizontal="center" vertical="center"/>
    </xf>
    <xf borderId="0" fillId="0" fontId="3" numFmtId="0" xfId="0" applyAlignment="1" applyFont="1">
      <alignment horizontal="center"/>
    </xf>
    <xf borderId="0" fillId="0" fontId="3" numFmtId="0" xfId="0" applyAlignment="1" applyFont="1">
      <alignment horizontal="center" vertical="center"/>
    </xf>
    <xf borderId="0" fillId="0" fontId="4" numFmtId="0" xfId="0" applyFont="1"/>
    <xf borderId="0" fillId="0" fontId="5" numFmtId="0" xfId="0" applyAlignment="1" applyFont="1">
      <alignment vertical="center"/>
    </xf>
    <xf borderId="0" fillId="0" fontId="5" numFmtId="0" xfId="0" applyAlignment="1" applyFont="1">
      <alignment shrinkToFit="0" vertical="center" wrapText="1"/>
    </xf>
    <xf borderId="0" fillId="0" fontId="6" numFmtId="0" xfId="0" applyAlignment="1" applyFont="1">
      <alignment shrinkToFit="0" vertical="top" wrapText="1"/>
    </xf>
    <xf borderId="0" fillId="0" fontId="7" numFmtId="0" xfId="0" applyFont="1"/>
    <xf borderId="1" fillId="0" fontId="8" numFmtId="0" xfId="0" applyAlignment="1" applyBorder="1" applyFont="1">
      <alignment horizontal="center" shrinkToFit="0" vertical="center" wrapText="1"/>
    </xf>
    <xf borderId="2" fillId="0" fontId="8" numFmtId="0" xfId="0" applyAlignment="1" applyBorder="1" applyFont="1">
      <alignment horizontal="center" shrinkToFit="0" vertical="center" wrapText="1"/>
    </xf>
    <xf borderId="3" fillId="0" fontId="8" numFmtId="0" xfId="0" applyAlignment="1" applyBorder="1" applyFont="1">
      <alignment horizontal="center" shrinkToFit="0" vertical="center" wrapText="1"/>
    </xf>
    <xf borderId="3" fillId="0" fontId="8" numFmtId="3" xfId="0" applyAlignment="1" applyBorder="1" applyFont="1" applyNumberFormat="1">
      <alignment horizontal="center" shrinkToFit="0" vertical="center" wrapText="1"/>
    </xf>
    <xf borderId="4" fillId="0" fontId="9" numFmtId="0" xfId="0" applyBorder="1" applyFont="1"/>
    <xf borderId="5" fillId="0" fontId="9" numFmtId="0" xfId="0" applyBorder="1" applyFont="1"/>
    <xf borderId="6" fillId="0" fontId="8" numFmtId="0" xfId="0" applyAlignment="1" applyBorder="1" applyFont="1">
      <alignment horizontal="center" shrinkToFit="0" vertical="center" wrapText="1"/>
    </xf>
    <xf borderId="6" fillId="0" fontId="9" numFmtId="0" xfId="0" applyBorder="1" applyFont="1"/>
    <xf borderId="7" fillId="0" fontId="9" numFmtId="0" xfId="0" applyBorder="1" applyFont="1"/>
    <xf quotePrefix="1" borderId="0" fillId="0" fontId="2" numFmtId="0" xfId="0" applyAlignment="1" applyFont="1">
      <alignment horizontal="center" vertical="center"/>
    </xf>
    <xf borderId="6" fillId="0" fontId="8" numFmtId="3" xfId="0" applyAlignment="1" applyBorder="1" applyFont="1" applyNumberFormat="1">
      <alignment horizontal="center" shrinkToFit="0" wrapText="1"/>
    </xf>
    <xf borderId="1" fillId="0" fontId="8" numFmtId="3" xfId="0" applyAlignment="1" applyBorder="1" applyFont="1" applyNumberFormat="1">
      <alignment horizontal="center" shrinkToFit="0" vertical="center" wrapText="1"/>
    </xf>
    <xf borderId="6" fillId="0" fontId="8" numFmtId="0" xfId="0" applyAlignment="1" applyBorder="1" applyFont="1">
      <alignment horizontal="left" shrinkToFit="0" vertical="top" wrapText="1"/>
    </xf>
    <xf borderId="6" fillId="0" fontId="8" numFmtId="164" xfId="0" applyAlignment="1" applyBorder="1" applyFont="1" applyNumberFormat="1">
      <alignment horizontal="right" shrinkToFit="0" vertical="center" wrapText="1"/>
    </xf>
    <xf borderId="2" fillId="0" fontId="8" numFmtId="3" xfId="0" applyAlignment="1" applyBorder="1" applyFont="1" applyNumberFormat="1">
      <alignment horizontal="center" shrinkToFit="0" vertical="center" wrapText="1"/>
    </xf>
    <xf borderId="6" fillId="0" fontId="10" numFmtId="0" xfId="0" applyAlignment="1" applyBorder="1" applyFont="1">
      <alignment horizontal="left" shrinkToFit="0" vertical="top" wrapText="1"/>
    </xf>
    <xf borderId="6" fillId="0" fontId="10" numFmtId="164" xfId="0" applyAlignment="1" applyBorder="1" applyFont="1" applyNumberFormat="1">
      <alignment horizontal="right" shrinkToFit="0" vertical="center" wrapText="1"/>
    </xf>
    <xf borderId="6" fillId="0" fontId="8" numFmtId="165" xfId="0" applyAlignment="1" applyBorder="1" applyFont="1" applyNumberFormat="1">
      <alignment horizontal="right" shrinkToFit="0" vertical="center" wrapText="1"/>
    </xf>
    <xf borderId="7" fillId="0" fontId="10" numFmtId="0" xfId="0" applyBorder="1" applyFont="1"/>
    <xf borderId="0" fillId="0" fontId="11" numFmtId="0" xfId="0" applyAlignment="1" applyFont="1">
      <alignment vertical="center"/>
    </xf>
    <xf borderId="0" fillId="0" fontId="12" numFmtId="0" xfId="0" applyAlignment="1" applyFont="1">
      <alignment vertical="center"/>
    </xf>
    <xf borderId="6" fillId="0" fontId="10" numFmtId="165" xfId="0" applyAlignment="1" applyBorder="1" applyFont="1" applyNumberFormat="1">
      <alignment horizontal="right" shrinkToFit="0" vertical="center" wrapText="1"/>
    </xf>
    <xf borderId="0" fillId="0" fontId="11" numFmtId="0" xfId="0" applyAlignment="1" applyFont="1">
      <alignment horizontal="left" shrinkToFit="0" vertical="center" wrapText="1"/>
    </xf>
    <xf borderId="0" fillId="0" fontId="5" numFmtId="0" xfId="0" applyAlignment="1" applyFont="1">
      <alignment horizontal="left" vertical="center"/>
    </xf>
    <xf borderId="0" fillId="0" fontId="2" numFmtId="165" xfId="0" applyFont="1" applyNumberFormat="1"/>
    <xf borderId="0" fillId="0" fontId="2" numFmtId="164" xfId="0" applyFont="1" applyNumberFormat="1"/>
    <xf borderId="8" fillId="0" fontId="8" numFmtId="0" xfId="0" applyAlignment="1" applyBorder="1" applyFont="1">
      <alignment horizontal="center" vertical="center"/>
    </xf>
    <xf borderId="9" fillId="0" fontId="9" numFmtId="0" xfId="0" applyBorder="1" applyFont="1"/>
    <xf borderId="3" fillId="0" fontId="8" numFmtId="0" xfId="0" applyAlignment="1" applyBorder="1" applyFont="1">
      <alignment horizontal="center" vertical="center"/>
    </xf>
    <xf borderId="10" fillId="0" fontId="9" numFmtId="0" xfId="0" applyBorder="1" applyFont="1"/>
    <xf borderId="11" fillId="0" fontId="9" numFmtId="0" xfId="0" applyBorder="1" applyFont="1"/>
    <xf borderId="0" fillId="0" fontId="2" numFmtId="166" xfId="0" applyFont="1" applyNumberFormat="1"/>
    <xf borderId="3" fillId="0" fontId="8" numFmtId="0" xfId="0" applyAlignment="1" applyBorder="1" applyFont="1">
      <alignment horizontal="center"/>
    </xf>
    <xf borderId="0" fillId="0" fontId="2" numFmtId="167" xfId="0" applyFont="1" applyNumberFormat="1"/>
    <xf borderId="6" fillId="0" fontId="8" numFmtId="168" xfId="0" applyAlignment="1" applyBorder="1" applyFont="1" applyNumberFormat="1">
      <alignment horizontal="right" shrinkToFit="0" vertical="center" wrapText="1"/>
    </xf>
    <xf borderId="6" fillId="0" fontId="10" numFmtId="168" xfId="0" applyAlignment="1" applyBorder="1" applyFont="1" applyNumberFormat="1">
      <alignment horizontal="right" shrinkToFit="0" vertical="center" wrapText="1"/>
    </xf>
    <xf borderId="3" fillId="0" fontId="8" numFmtId="0" xfId="0" applyAlignment="1" applyBorder="1" applyFont="1">
      <alignment horizontal="center" shrinkToFit="0" wrapText="1"/>
    </xf>
    <xf borderId="0" fillId="0" fontId="2" numFmtId="168" xfId="0" applyFont="1" applyNumberFormat="1"/>
    <xf borderId="9" fillId="0" fontId="8" numFmtId="3" xfId="0" applyAlignment="1" applyBorder="1" applyFont="1" applyNumberFormat="1">
      <alignment horizontal="center" shrinkToFit="0" vertical="center" wrapText="1"/>
    </xf>
    <xf borderId="8" fillId="0" fontId="8" numFmtId="3" xfId="0" applyAlignment="1" applyBorder="1" applyFont="1" applyNumberFormat="1">
      <alignment horizontal="center" shrinkToFit="0" vertical="center" wrapText="1"/>
    </xf>
    <xf borderId="12" fillId="0" fontId="9" numFmtId="0" xfId="0" applyBorder="1" applyFont="1"/>
    <xf borderId="0" fillId="0" fontId="5" numFmtId="0" xfId="0" applyAlignment="1" applyFont="1">
      <alignment horizontal="left" shrinkToFit="0" vertical="center" wrapText="1"/>
    </xf>
    <xf borderId="0" fillId="0" fontId="2" numFmtId="3" xfId="0" applyFont="1" applyNumberFormat="1"/>
    <xf borderId="0" fillId="0" fontId="5" numFmtId="0" xfId="0" applyAlignment="1" applyFont="1">
      <alignment horizontal="center" shrinkToFit="0" vertical="center" wrapText="1"/>
    </xf>
    <xf borderId="13" fillId="0" fontId="8" numFmtId="3" xfId="0" applyAlignment="1" applyBorder="1" applyFont="1" applyNumberFormat="1">
      <alignment horizontal="center" shrinkToFit="0" vertical="center" wrapText="1"/>
    </xf>
    <xf borderId="0" fillId="0" fontId="8" numFmtId="3" xfId="0" applyAlignment="1" applyFont="1" applyNumberFormat="1">
      <alignment horizontal="center" shrinkToFit="0" vertical="center" wrapText="1"/>
    </xf>
    <xf borderId="0" fillId="0" fontId="8" numFmtId="3" xfId="0" applyAlignment="1" applyFont="1" applyNumberFormat="1">
      <alignment horizontal="center" shrinkToFit="0" wrapText="1"/>
    </xf>
    <xf borderId="0" fillId="0" fontId="8" numFmtId="165" xfId="0" applyAlignment="1" applyFont="1" applyNumberFormat="1">
      <alignment horizontal="right" shrinkToFit="0" vertical="center" wrapText="1"/>
    </xf>
    <xf borderId="0" fillId="0" fontId="10" numFmtId="165" xfId="0" applyAlignment="1" applyFont="1" applyNumberFormat="1">
      <alignment horizontal="right" shrinkToFit="0" vertical="center" wrapText="1"/>
    </xf>
    <xf borderId="8" fillId="0" fontId="8" numFmtId="0" xfId="0" applyAlignment="1" applyBorder="1" applyFont="1">
      <alignment horizontal="center" shrinkToFit="0" vertical="center" wrapText="1"/>
    </xf>
    <xf borderId="0" fillId="0" fontId="10" numFmtId="0" xfId="0" applyFont="1"/>
    <xf borderId="1" fillId="0" fontId="8" numFmtId="3" xfId="0" applyAlignment="1" applyBorder="1" applyFont="1" applyNumberFormat="1">
      <alignment horizontal="center" shrinkToFit="0" wrapText="1"/>
    </xf>
    <xf borderId="6" fillId="0" fontId="3" numFmtId="164" xfId="0" applyBorder="1" applyFont="1" applyNumberFormat="1"/>
    <xf borderId="6" fillId="0" fontId="3" numFmtId="168" xfId="0" applyBorder="1" applyFont="1" applyNumberFormat="1"/>
    <xf borderId="6" fillId="0" fontId="2" numFmtId="164" xfId="0" applyBorder="1" applyFont="1" applyNumberFormat="1"/>
    <xf borderId="6" fillId="0" fontId="3" numFmtId="165" xfId="0" applyBorder="1" applyFont="1" applyNumberFormat="1"/>
    <xf borderId="6" fillId="0" fontId="2" numFmtId="168" xfId="0" applyBorder="1" applyFont="1" applyNumberFormat="1"/>
    <xf borderId="6" fillId="0" fontId="2" numFmtId="165" xfId="0" applyBorder="1" applyFont="1" applyNumberFormat="1"/>
    <xf borderId="14" fillId="2" fontId="8" numFmtId="164" xfId="0" applyAlignment="1" applyBorder="1" applyFill="1" applyFont="1" applyNumberFormat="1">
      <alignment horizontal="right" shrinkToFit="0" vertical="center" wrapText="1"/>
    </xf>
    <xf borderId="14" fillId="2" fontId="8" numFmtId="165" xfId="0" applyAlignment="1" applyBorder="1" applyFill="1" applyFont="1" applyNumberFormat="1">
      <alignment horizontal="right" shrinkToFit="0" vertical="center" wrapText="1"/>
    </xf>
    <xf borderId="14" fillId="2" fontId="10" numFmtId="164" xfId="0" applyAlignment="1" applyBorder="1" applyFill="1" applyFont="1" applyNumberFormat="1">
      <alignment horizontal="right" shrinkToFit="0" vertical="center" wrapText="1"/>
    </xf>
    <xf borderId="14" fillId="2" fontId="10" numFmtId="165" xfId="0" applyAlignment="1" applyBorder="1" applyFill="1" applyFont="1" applyNumberFormat="1">
      <alignment horizontal="right" shrinkToFit="0" vertical="center" wrapText="1"/>
    </xf>
    <xf borderId="3" fillId="0" fontId="8" numFmtId="0" xfId="0" applyAlignment="1" applyBorder="1" applyFont="1">
      <alignment horizontal="center" shrinkToFit="0" vertical="top" wrapText="1"/>
    </xf>
    <xf borderId="0" fillId="0" fontId="2" numFmtId="169" xfId="0" applyFont="1" applyNumberFormat="1"/>
    <xf borderId="3" fillId="0" fontId="8" numFmtId="3" xfId="0" applyAlignment="1" applyBorder="1" applyFont="1" applyNumberForma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40" Type="http://schemas.openxmlformats.org/officeDocument/2006/relationships/worksheet" Target="worksheets/sheet36.xml"/><Relationship Id="rId42" Type="http://schemas.openxmlformats.org/officeDocument/2006/relationships/worksheet" Target="worksheets/sheet38.xml"/><Relationship Id="rId41" Type="http://schemas.openxmlformats.org/officeDocument/2006/relationships/worksheet" Target="worksheets/sheet37.xml"/><Relationship Id="rId44" Type="http://schemas.openxmlformats.org/officeDocument/2006/relationships/worksheet" Target="worksheets/sheet40.xml"/><Relationship Id="rId43" Type="http://schemas.openxmlformats.org/officeDocument/2006/relationships/worksheet" Target="worksheets/sheet39.xml"/><Relationship Id="rId46" Type="http://schemas.openxmlformats.org/officeDocument/2006/relationships/worksheet" Target="worksheets/sheet42.xml"/><Relationship Id="rId45" Type="http://schemas.openxmlformats.org/officeDocument/2006/relationships/worksheet" Target="worksheets/sheet41.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48" Type="http://schemas.openxmlformats.org/officeDocument/2006/relationships/worksheet" Target="worksheets/sheet44.xml"/><Relationship Id="rId47" Type="http://schemas.openxmlformats.org/officeDocument/2006/relationships/worksheet" Target="worksheets/sheet43.xml"/><Relationship Id="rId49" Type="http://schemas.openxmlformats.org/officeDocument/2006/relationships/worksheet" Target="worksheets/sheet4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33" Type="http://schemas.openxmlformats.org/officeDocument/2006/relationships/worksheet" Target="worksheets/sheet29.xml"/><Relationship Id="rId32" Type="http://schemas.openxmlformats.org/officeDocument/2006/relationships/worksheet" Target="worksheets/sheet28.xml"/><Relationship Id="rId35" Type="http://schemas.openxmlformats.org/officeDocument/2006/relationships/worksheet" Target="worksheets/sheet31.xml"/><Relationship Id="rId34" Type="http://schemas.openxmlformats.org/officeDocument/2006/relationships/worksheet" Target="worksheets/sheet30.xml"/><Relationship Id="rId37" Type="http://schemas.openxmlformats.org/officeDocument/2006/relationships/worksheet" Target="worksheets/sheet33.xml"/><Relationship Id="rId36" Type="http://schemas.openxmlformats.org/officeDocument/2006/relationships/worksheet" Target="worksheets/sheet32.xml"/><Relationship Id="rId39" Type="http://schemas.openxmlformats.org/officeDocument/2006/relationships/worksheet" Target="worksheets/sheet35.xml"/><Relationship Id="rId38" Type="http://schemas.openxmlformats.org/officeDocument/2006/relationships/worksheet" Target="worksheets/sheet34.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51" Type="http://schemas.openxmlformats.org/officeDocument/2006/relationships/worksheet" Target="worksheets/sheet47.xml"/><Relationship Id="rId50" Type="http://schemas.openxmlformats.org/officeDocument/2006/relationships/worksheet" Target="worksheets/sheet46.xml"/><Relationship Id="rId53" Type="http://schemas.openxmlformats.org/officeDocument/2006/relationships/worksheet" Target="worksheets/sheet49.xml"/><Relationship Id="rId52" Type="http://schemas.openxmlformats.org/officeDocument/2006/relationships/worksheet" Target="worksheets/sheet48.xml"/><Relationship Id="rId11" Type="http://schemas.openxmlformats.org/officeDocument/2006/relationships/worksheet" Target="worksheets/sheet7.xml"/><Relationship Id="rId55" Type="http://schemas.openxmlformats.org/officeDocument/2006/relationships/worksheet" Target="worksheets/sheet51.xml"/><Relationship Id="rId10" Type="http://schemas.openxmlformats.org/officeDocument/2006/relationships/worksheet" Target="worksheets/sheet6.xml"/><Relationship Id="rId54" Type="http://schemas.openxmlformats.org/officeDocument/2006/relationships/worksheet" Target="worksheets/sheet50.xml"/><Relationship Id="rId13" Type="http://schemas.openxmlformats.org/officeDocument/2006/relationships/worksheet" Target="worksheets/sheet9.xml"/><Relationship Id="rId57" Type="http://schemas.openxmlformats.org/officeDocument/2006/relationships/worksheet" Target="worksheets/sheet53.xml"/><Relationship Id="rId12" Type="http://schemas.openxmlformats.org/officeDocument/2006/relationships/worksheet" Target="worksheets/sheet8.xml"/><Relationship Id="rId56" Type="http://schemas.openxmlformats.org/officeDocument/2006/relationships/worksheet" Target="worksheets/sheet52.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6.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7.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8.xml"/></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49.x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50.xml"/></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51.xml"/></Relationships>
</file>

<file path=xl/worksheets/_rels/sheet52.xml.rels><?xml version="1.0" encoding="UTF-8" standalone="yes"?><Relationships xmlns="http://schemas.openxmlformats.org/package/2006/relationships"><Relationship Id="rId1" Type="http://schemas.openxmlformats.org/officeDocument/2006/relationships/drawing" Target="../drawings/drawing52.xml"/></Relationships>
</file>

<file path=xl/worksheets/_rels/sheet53.xml.rels><?xml version="1.0" encoding="UTF-8" standalone="yes"?><Relationships xmlns="http://schemas.openxmlformats.org/package/2006/relationships"><Relationship Id="rId1" Type="http://schemas.openxmlformats.org/officeDocument/2006/relationships/drawing" Target="../drawings/drawing5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4.0" topLeftCell="C5" activePane="bottomRight" state="frozen"/>
      <selection activeCell="C1" sqref="C1" pane="topRight"/>
      <selection activeCell="A5" sqref="A5" pane="bottomLeft"/>
      <selection activeCell="C5" sqref="C5" pane="bottomRight"/>
    </sheetView>
  </sheetViews>
  <sheetFormatPr customHeight="1" defaultColWidth="12.63" defaultRowHeight="15.0"/>
  <cols>
    <col customWidth="1" min="1" max="1" width="34.63"/>
    <col customWidth="1" min="2" max="3" width="13.25"/>
    <col customWidth="1" min="4" max="4" width="102.25"/>
    <col customWidth="1" min="5" max="26" width="8.63"/>
  </cols>
  <sheetData>
    <row r="1">
      <c r="A1" s="1" t="s">
        <v>0</v>
      </c>
      <c r="C1" s="2"/>
    </row>
    <row r="2">
      <c r="A2" s="1" t="s">
        <v>2</v>
      </c>
      <c r="C2" s="2"/>
    </row>
    <row r="3">
      <c r="C3" s="2"/>
    </row>
    <row r="4">
      <c r="A4" s="3" t="s">
        <v>3</v>
      </c>
      <c r="B4" s="3" t="s">
        <v>4</v>
      </c>
      <c r="C4" s="4" t="s">
        <v>5</v>
      </c>
      <c r="D4" s="3" t="s">
        <v>6</v>
      </c>
    </row>
    <row r="5">
      <c r="A5" s="1" t="s">
        <v>7</v>
      </c>
      <c r="B5" s="1" t="s">
        <v>8</v>
      </c>
      <c r="C5" s="2">
        <v>1.0</v>
      </c>
      <c r="D5" s="5" t="s">
        <v>10</v>
      </c>
    </row>
    <row r="6">
      <c r="A6" s="1" t="s">
        <v>7</v>
      </c>
      <c r="B6" s="1" t="s">
        <v>14</v>
      </c>
      <c r="C6" s="2">
        <v>2.0</v>
      </c>
      <c r="D6" s="5" t="s">
        <v>15</v>
      </c>
    </row>
    <row r="7">
      <c r="A7" s="1" t="s">
        <v>7</v>
      </c>
      <c r="B7" s="1" t="s">
        <v>14</v>
      </c>
      <c r="C7" s="2" t="s">
        <v>16</v>
      </c>
      <c r="D7" s="5" t="s">
        <v>18</v>
      </c>
    </row>
    <row r="8">
      <c r="A8" s="1" t="s">
        <v>19</v>
      </c>
      <c r="B8" s="1" t="s">
        <v>8</v>
      </c>
      <c r="C8" s="2">
        <v>3.0</v>
      </c>
      <c r="D8" s="5" t="s">
        <v>20</v>
      </c>
    </row>
    <row r="9">
      <c r="A9" s="1" t="s">
        <v>19</v>
      </c>
      <c r="B9" s="1" t="s">
        <v>8</v>
      </c>
      <c r="C9" s="2">
        <v>4.0</v>
      </c>
      <c r="D9" s="5" t="s">
        <v>22</v>
      </c>
    </row>
    <row r="10">
      <c r="A10" s="1" t="s">
        <v>19</v>
      </c>
      <c r="B10" s="1" t="s">
        <v>14</v>
      </c>
      <c r="C10" s="2">
        <v>5.0</v>
      </c>
      <c r="D10" s="5" t="s">
        <v>23</v>
      </c>
    </row>
    <row r="11">
      <c r="A11" s="1" t="s">
        <v>19</v>
      </c>
      <c r="B11" s="1" t="s">
        <v>14</v>
      </c>
      <c r="C11" s="2">
        <v>6.0</v>
      </c>
      <c r="D11" s="5" t="s">
        <v>24</v>
      </c>
    </row>
    <row r="12">
      <c r="A12" s="1" t="s">
        <v>19</v>
      </c>
      <c r="B12" s="1" t="s">
        <v>14</v>
      </c>
      <c r="C12" s="19" t="s">
        <v>27</v>
      </c>
      <c r="D12" s="5" t="s">
        <v>31</v>
      </c>
    </row>
    <row r="13">
      <c r="A13" s="1" t="s">
        <v>19</v>
      </c>
      <c r="B13" s="1" t="s">
        <v>14</v>
      </c>
      <c r="C13" s="2">
        <v>7.0</v>
      </c>
      <c r="D13" s="5" t="s">
        <v>34</v>
      </c>
    </row>
    <row r="14">
      <c r="A14" s="1" t="s">
        <v>35</v>
      </c>
      <c r="B14" s="1" t="s">
        <v>14</v>
      </c>
      <c r="C14" s="2">
        <v>8.0</v>
      </c>
      <c r="D14" s="5" t="s">
        <v>36</v>
      </c>
    </row>
    <row r="15">
      <c r="A15" s="1" t="s">
        <v>35</v>
      </c>
      <c r="B15" s="1" t="s">
        <v>14</v>
      </c>
      <c r="C15" s="2">
        <v>9.0</v>
      </c>
      <c r="D15" s="5" t="s">
        <v>40</v>
      </c>
    </row>
    <row r="16">
      <c r="A16" s="1" t="s">
        <v>35</v>
      </c>
      <c r="B16" s="1" t="s">
        <v>14</v>
      </c>
      <c r="C16" s="2">
        <v>10.0</v>
      </c>
      <c r="D16" s="5" t="s">
        <v>42</v>
      </c>
    </row>
    <row r="17">
      <c r="A17" s="1" t="s">
        <v>35</v>
      </c>
      <c r="B17" s="1" t="s">
        <v>14</v>
      </c>
      <c r="C17" s="2">
        <v>11.0</v>
      </c>
      <c r="D17" s="5" t="s">
        <v>45</v>
      </c>
    </row>
    <row r="18">
      <c r="A18" s="1" t="s">
        <v>47</v>
      </c>
      <c r="B18" s="1" t="s">
        <v>8</v>
      </c>
      <c r="C18" s="2">
        <v>12.0</v>
      </c>
      <c r="D18" s="5" t="s">
        <v>49</v>
      </c>
    </row>
    <row r="19">
      <c r="A19" s="1" t="s">
        <v>47</v>
      </c>
      <c r="B19" s="1" t="s">
        <v>8</v>
      </c>
      <c r="C19" s="2">
        <v>13.0</v>
      </c>
      <c r="D19" s="5" t="s">
        <v>52</v>
      </c>
    </row>
    <row r="20">
      <c r="A20" s="1" t="s">
        <v>47</v>
      </c>
      <c r="B20" s="1" t="s">
        <v>8</v>
      </c>
      <c r="C20" s="2">
        <v>14.0</v>
      </c>
      <c r="D20" s="5" t="s">
        <v>55</v>
      </c>
    </row>
    <row r="21" ht="15.75" customHeight="1">
      <c r="A21" s="1" t="s">
        <v>47</v>
      </c>
      <c r="B21" s="1" t="s">
        <v>14</v>
      </c>
      <c r="C21" s="2">
        <v>15.0</v>
      </c>
      <c r="D21" s="5" t="s">
        <v>58</v>
      </c>
    </row>
    <row r="22" ht="15.75" customHeight="1">
      <c r="A22" s="1" t="s">
        <v>47</v>
      </c>
      <c r="B22" s="1" t="s">
        <v>14</v>
      </c>
      <c r="C22" s="19" t="s">
        <v>61</v>
      </c>
      <c r="D22" s="5" t="s">
        <v>62</v>
      </c>
    </row>
    <row r="23" ht="15.75" customHeight="1">
      <c r="A23" s="1" t="s">
        <v>47</v>
      </c>
      <c r="B23" s="1" t="s">
        <v>14</v>
      </c>
      <c r="C23" s="2">
        <v>16.0</v>
      </c>
      <c r="D23" s="5" t="s">
        <v>66</v>
      </c>
    </row>
    <row r="24" ht="15.75" customHeight="1">
      <c r="A24" s="1" t="s">
        <v>67</v>
      </c>
      <c r="B24" s="1" t="s">
        <v>8</v>
      </c>
      <c r="C24" s="2">
        <v>17.0</v>
      </c>
      <c r="D24" s="5" t="s">
        <v>68</v>
      </c>
    </row>
    <row r="25" ht="15.75" customHeight="1">
      <c r="A25" s="1" t="s">
        <v>67</v>
      </c>
      <c r="B25" s="1" t="s">
        <v>8</v>
      </c>
      <c r="C25" s="2">
        <v>18.0</v>
      </c>
      <c r="D25" s="5" t="s">
        <v>70</v>
      </c>
    </row>
    <row r="26" ht="15.75" customHeight="1">
      <c r="A26" s="1" t="s">
        <v>67</v>
      </c>
      <c r="B26" s="1" t="s">
        <v>8</v>
      </c>
      <c r="C26" s="2">
        <v>19.0</v>
      </c>
      <c r="D26" s="5" t="s">
        <v>71</v>
      </c>
    </row>
    <row r="27" ht="15.75" customHeight="1">
      <c r="A27" s="1" t="s">
        <v>67</v>
      </c>
      <c r="B27" s="1" t="s">
        <v>14</v>
      </c>
      <c r="C27" s="2">
        <v>20.0</v>
      </c>
      <c r="D27" s="5" t="s">
        <v>74</v>
      </c>
    </row>
    <row r="28" ht="15.75" customHeight="1">
      <c r="A28" s="1" t="s">
        <v>67</v>
      </c>
      <c r="B28" s="1" t="s">
        <v>14</v>
      </c>
      <c r="C28" s="19" t="s">
        <v>78</v>
      </c>
      <c r="D28" s="5" t="s">
        <v>79</v>
      </c>
    </row>
    <row r="29" ht="15.75" customHeight="1">
      <c r="A29" s="1" t="s">
        <v>67</v>
      </c>
      <c r="B29" s="1" t="s">
        <v>14</v>
      </c>
      <c r="C29" s="2">
        <v>21.0</v>
      </c>
      <c r="D29" s="5" t="s">
        <v>80</v>
      </c>
    </row>
    <row r="30" ht="15.75" customHeight="1">
      <c r="A30" s="1" t="s">
        <v>67</v>
      </c>
      <c r="B30" s="1" t="s">
        <v>14</v>
      </c>
      <c r="C30" s="2">
        <v>22.0</v>
      </c>
      <c r="D30" s="5" t="s">
        <v>81</v>
      </c>
    </row>
    <row r="31" ht="15.75" customHeight="1">
      <c r="A31" s="1" t="s">
        <v>67</v>
      </c>
      <c r="B31" s="1" t="s">
        <v>14</v>
      </c>
      <c r="C31" s="2">
        <v>23.0</v>
      </c>
      <c r="D31" s="5" t="s">
        <v>82</v>
      </c>
    </row>
    <row r="32" ht="15.75" customHeight="1">
      <c r="A32" s="1" t="s">
        <v>67</v>
      </c>
      <c r="B32" s="1" t="s">
        <v>8</v>
      </c>
      <c r="C32" s="2">
        <v>24.0</v>
      </c>
      <c r="D32" s="5" t="s">
        <v>83</v>
      </c>
    </row>
    <row r="33" ht="15.75" customHeight="1">
      <c r="A33" s="1" t="s">
        <v>67</v>
      </c>
      <c r="B33" s="1" t="s">
        <v>14</v>
      </c>
      <c r="C33" s="2">
        <v>25.0</v>
      </c>
      <c r="D33" s="5" t="s">
        <v>84</v>
      </c>
    </row>
    <row r="34" ht="15.75" customHeight="1">
      <c r="A34" s="1" t="s">
        <v>85</v>
      </c>
      <c r="B34" s="1" t="s">
        <v>8</v>
      </c>
      <c r="C34" s="2">
        <v>26.0</v>
      </c>
      <c r="D34" s="5" t="s">
        <v>86</v>
      </c>
    </row>
    <row r="35" ht="15.75" customHeight="1">
      <c r="A35" s="1" t="s">
        <v>85</v>
      </c>
      <c r="B35" s="1" t="s">
        <v>8</v>
      </c>
      <c r="C35" s="2">
        <v>27.0</v>
      </c>
      <c r="D35" s="5" t="s">
        <v>87</v>
      </c>
    </row>
    <row r="36" ht="15.75" customHeight="1">
      <c r="A36" s="1" t="s">
        <v>88</v>
      </c>
      <c r="B36" s="1" t="s">
        <v>14</v>
      </c>
      <c r="C36" s="2">
        <v>28.0</v>
      </c>
      <c r="D36" s="5" t="s">
        <v>89</v>
      </c>
    </row>
    <row r="37" ht="15.75" customHeight="1">
      <c r="A37" s="1" t="s">
        <v>88</v>
      </c>
      <c r="B37" s="1" t="s">
        <v>14</v>
      </c>
      <c r="C37" s="19" t="s">
        <v>90</v>
      </c>
      <c r="D37" s="5" t="s">
        <v>91</v>
      </c>
    </row>
    <row r="38" ht="15.75" customHeight="1">
      <c r="A38" s="1" t="s">
        <v>88</v>
      </c>
      <c r="B38" s="1" t="s">
        <v>14</v>
      </c>
      <c r="C38" s="2">
        <v>29.0</v>
      </c>
      <c r="D38" s="5" t="s">
        <v>92</v>
      </c>
    </row>
    <row r="39" ht="15.75" customHeight="1">
      <c r="A39" s="1" t="s">
        <v>88</v>
      </c>
      <c r="B39" s="1" t="s">
        <v>14</v>
      </c>
      <c r="C39" s="2">
        <v>30.0</v>
      </c>
      <c r="D39" s="5" t="s">
        <v>93</v>
      </c>
    </row>
    <row r="40" ht="15.75" customHeight="1">
      <c r="A40" s="1" t="s">
        <v>88</v>
      </c>
      <c r="B40" s="1" t="s">
        <v>14</v>
      </c>
      <c r="C40" s="19" t="s">
        <v>90</v>
      </c>
      <c r="D40" s="5" t="s">
        <v>94</v>
      </c>
    </row>
    <row r="41" ht="15.75" customHeight="1">
      <c r="A41" s="1" t="s">
        <v>88</v>
      </c>
      <c r="B41" s="1" t="s">
        <v>14</v>
      </c>
      <c r="C41" s="19" t="s">
        <v>95</v>
      </c>
      <c r="D41" s="5" t="s">
        <v>96</v>
      </c>
    </row>
    <row r="42" ht="15.75" customHeight="1">
      <c r="A42" s="1" t="s">
        <v>88</v>
      </c>
      <c r="B42" s="1" t="s">
        <v>14</v>
      </c>
      <c r="C42" s="2">
        <v>31.0</v>
      </c>
      <c r="D42" s="5" t="s">
        <v>97</v>
      </c>
    </row>
    <row r="43" ht="15.75" customHeight="1">
      <c r="A43" s="1" t="s">
        <v>88</v>
      </c>
      <c r="B43" s="1" t="s">
        <v>14</v>
      </c>
      <c r="C43" s="2">
        <v>32.0</v>
      </c>
      <c r="D43" s="5" t="s">
        <v>98</v>
      </c>
    </row>
    <row r="44" ht="15.75" customHeight="1">
      <c r="A44" s="1" t="s">
        <v>88</v>
      </c>
      <c r="B44" s="1" t="s">
        <v>14</v>
      </c>
      <c r="C44" s="2">
        <v>33.0</v>
      </c>
      <c r="D44" s="5" t="s">
        <v>99</v>
      </c>
    </row>
    <row r="45" ht="15.75" customHeight="1">
      <c r="A45" s="1" t="s">
        <v>88</v>
      </c>
      <c r="B45" s="1" t="s">
        <v>14</v>
      </c>
      <c r="C45" s="2">
        <v>34.0</v>
      </c>
      <c r="D45" s="5" t="s">
        <v>100</v>
      </c>
    </row>
    <row r="46" ht="15.75" customHeight="1">
      <c r="A46" s="1" t="s">
        <v>88</v>
      </c>
      <c r="B46" s="1" t="s">
        <v>14</v>
      </c>
      <c r="C46" s="19" t="s">
        <v>101</v>
      </c>
      <c r="D46" s="5" t="s">
        <v>102</v>
      </c>
    </row>
    <row r="47" ht="15.75" customHeight="1">
      <c r="A47" s="1" t="s">
        <v>88</v>
      </c>
      <c r="B47" s="1" t="s">
        <v>14</v>
      </c>
      <c r="C47" s="2">
        <v>35.0</v>
      </c>
      <c r="D47" s="5" t="s">
        <v>103</v>
      </c>
    </row>
    <row r="48" ht="15.75" customHeight="1">
      <c r="A48" s="1" t="s">
        <v>88</v>
      </c>
      <c r="B48" s="1" t="s">
        <v>14</v>
      </c>
      <c r="C48" s="2">
        <v>36.0</v>
      </c>
      <c r="D48" s="5" t="s">
        <v>104</v>
      </c>
    </row>
    <row r="49" ht="15.75" customHeight="1">
      <c r="A49" s="1" t="s">
        <v>88</v>
      </c>
      <c r="B49" s="1" t="s">
        <v>14</v>
      </c>
      <c r="C49" s="2">
        <v>37.0</v>
      </c>
      <c r="D49" s="5" t="s">
        <v>105</v>
      </c>
    </row>
    <row r="50" ht="15.75" customHeight="1">
      <c r="A50" s="1" t="s">
        <v>88</v>
      </c>
      <c r="B50" s="1" t="s">
        <v>14</v>
      </c>
      <c r="C50" s="2">
        <v>38.0</v>
      </c>
      <c r="D50" s="5" t="s">
        <v>106</v>
      </c>
    </row>
    <row r="51" ht="15.75" customHeight="1">
      <c r="A51" s="1" t="s">
        <v>88</v>
      </c>
      <c r="B51" s="1" t="s">
        <v>14</v>
      </c>
      <c r="C51" s="2">
        <v>39.0</v>
      </c>
      <c r="D51" s="5" t="s">
        <v>107</v>
      </c>
    </row>
    <row r="52" ht="15.75" customHeight="1">
      <c r="A52" s="1" t="s">
        <v>88</v>
      </c>
      <c r="B52" s="1" t="s">
        <v>14</v>
      </c>
      <c r="C52" s="2">
        <v>40.0</v>
      </c>
      <c r="D52" s="5" t="s">
        <v>108</v>
      </c>
    </row>
    <row r="53" ht="15.75" customHeight="1">
      <c r="A53" s="1" t="s">
        <v>109</v>
      </c>
      <c r="B53" s="1" t="s">
        <v>14</v>
      </c>
      <c r="C53" s="2">
        <v>41.0</v>
      </c>
      <c r="D53" s="5" t="s">
        <v>110</v>
      </c>
    </row>
    <row r="54" ht="15.75" customHeight="1">
      <c r="A54" s="1" t="s">
        <v>109</v>
      </c>
      <c r="B54" s="1" t="s">
        <v>14</v>
      </c>
      <c r="C54" s="19" t="s">
        <v>111</v>
      </c>
      <c r="D54" s="5" t="s">
        <v>112</v>
      </c>
    </row>
    <row r="55" ht="15.75" customHeight="1">
      <c r="A55" s="1" t="s">
        <v>109</v>
      </c>
      <c r="B55" s="1" t="s">
        <v>14</v>
      </c>
      <c r="C55" s="2">
        <v>42.0</v>
      </c>
      <c r="D55" s="5" t="s">
        <v>113</v>
      </c>
    </row>
    <row r="56" ht="15.75" customHeight="1">
      <c r="A56" s="1" t="s">
        <v>114</v>
      </c>
      <c r="B56" s="1" t="s">
        <v>14</v>
      </c>
      <c r="C56" s="2">
        <v>43.0</v>
      </c>
      <c r="D56" s="5" t="s">
        <v>115</v>
      </c>
    </row>
    <row r="57" ht="15.75" customHeight="1">
      <c r="A57" s="1" t="s">
        <v>114</v>
      </c>
      <c r="B57" s="1" t="s">
        <v>14</v>
      </c>
      <c r="C57" s="2">
        <v>44.0</v>
      </c>
      <c r="D57" s="5" t="s">
        <v>116</v>
      </c>
    </row>
    <row r="58" ht="15.75" customHeight="1">
      <c r="A58" s="1" t="s">
        <v>114</v>
      </c>
      <c r="B58" s="1" t="s">
        <v>14</v>
      </c>
      <c r="C58" s="19" t="s">
        <v>117</v>
      </c>
      <c r="D58" s="5" t="s">
        <v>118</v>
      </c>
    </row>
    <row r="59" ht="15.75" customHeight="1">
      <c r="A59" s="1" t="s">
        <v>114</v>
      </c>
      <c r="B59" s="1" t="s">
        <v>14</v>
      </c>
      <c r="C59" s="19" t="s">
        <v>117</v>
      </c>
      <c r="D59" s="5" t="s">
        <v>119</v>
      </c>
    </row>
    <row r="60" ht="15.75" customHeight="1">
      <c r="A60" s="1" t="s">
        <v>114</v>
      </c>
      <c r="B60" s="1" t="s">
        <v>14</v>
      </c>
      <c r="C60" s="19" t="s">
        <v>117</v>
      </c>
      <c r="D60" s="5" t="s">
        <v>120</v>
      </c>
    </row>
    <row r="61" ht="15.75" customHeight="1">
      <c r="A61" s="1" t="s">
        <v>121</v>
      </c>
      <c r="B61" s="1" t="s">
        <v>14</v>
      </c>
      <c r="C61" s="2">
        <v>45.0</v>
      </c>
      <c r="D61" s="5" t="s">
        <v>123</v>
      </c>
    </row>
    <row r="62" ht="15.75" customHeight="1">
      <c r="A62" s="1" t="s">
        <v>121</v>
      </c>
      <c r="B62" s="1" t="s">
        <v>14</v>
      </c>
      <c r="C62" s="19" t="s">
        <v>124</v>
      </c>
      <c r="D62" s="5" t="s">
        <v>125</v>
      </c>
    </row>
    <row r="63" ht="15.75" customHeight="1">
      <c r="A63" s="1" t="s">
        <v>121</v>
      </c>
      <c r="B63" s="1" t="s">
        <v>14</v>
      </c>
      <c r="C63" s="19" t="s">
        <v>124</v>
      </c>
      <c r="D63" s="5" t="s">
        <v>126</v>
      </c>
    </row>
    <row r="64" ht="15.75" customHeight="1">
      <c r="A64" s="1" t="s">
        <v>121</v>
      </c>
      <c r="B64" s="1" t="s">
        <v>14</v>
      </c>
      <c r="C64" s="19" t="s">
        <v>124</v>
      </c>
      <c r="D64" s="5" t="s">
        <v>127</v>
      </c>
    </row>
    <row r="65" ht="15.75" customHeight="1">
      <c r="A65" s="1" t="s">
        <v>121</v>
      </c>
      <c r="B65" s="1" t="s">
        <v>14</v>
      </c>
      <c r="C65" s="19" t="s">
        <v>124</v>
      </c>
      <c r="D65" s="5" t="s">
        <v>126</v>
      </c>
    </row>
    <row r="66" ht="15.75" customHeight="1">
      <c r="A66" s="1" t="s">
        <v>128</v>
      </c>
      <c r="B66" s="1" t="s">
        <v>14</v>
      </c>
      <c r="C66" s="2">
        <v>46.0</v>
      </c>
      <c r="D66" s="5" t="s">
        <v>129</v>
      </c>
    </row>
    <row r="67" ht="15.75" customHeight="1">
      <c r="A67" s="1" t="s">
        <v>128</v>
      </c>
      <c r="B67" s="1" t="s">
        <v>14</v>
      </c>
      <c r="C67" s="19" t="s">
        <v>130</v>
      </c>
      <c r="D67" s="5" t="s">
        <v>131</v>
      </c>
    </row>
    <row r="68" ht="15.75" customHeight="1">
      <c r="A68" s="1" t="s">
        <v>128</v>
      </c>
      <c r="B68" s="1" t="s">
        <v>14</v>
      </c>
      <c r="C68" s="2">
        <v>47.0</v>
      </c>
      <c r="D68" s="5" t="s">
        <v>132</v>
      </c>
    </row>
    <row r="69" ht="15.75" customHeight="1">
      <c r="A69" s="1" t="s">
        <v>133</v>
      </c>
      <c r="B69" s="1" t="s">
        <v>14</v>
      </c>
      <c r="C69" s="2">
        <v>48.0</v>
      </c>
      <c r="D69" s="5" t="s">
        <v>134</v>
      </c>
    </row>
    <row r="70" ht="15.75" customHeight="1">
      <c r="A70" s="1" t="s">
        <v>133</v>
      </c>
      <c r="B70" s="1" t="s">
        <v>14</v>
      </c>
      <c r="C70" s="2">
        <v>49.0</v>
      </c>
      <c r="D70" s="5" t="s">
        <v>135</v>
      </c>
    </row>
    <row r="71" ht="15.75" customHeight="1">
      <c r="A71" s="1" t="s">
        <v>133</v>
      </c>
      <c r="B71" s="1" t="s">
        <v>14</v>
      </c>
      <c r="C71" s="2">
        <v>50.0</v>
      </c>
      <c r="D71" s="5" t="s">
        <v>136</v>
      </c>
    </row>
    <row r="72" ht="15.75" customHeight="1">
      <c r="A72" s="1" t="s">
        <v>109</v>
      </c>
      <c r="B72" s="1" t="s">
        <v>14</v>
      </c>
      <c r="C72" s="2">
        <v>51.0</v>
      </c>
      <c r="D72" s="5" t="s">
        <v>137</v>
      </c>
    </row>
    <row r="73" ht="15.75" customHeight="1">
      <c r="A73" s="1" t="s">
        <v>114</v>
      </c>
      <c r="B73" s="1" t="s">
        <v>14</v>
      </c>
      <c r="C73" s="2">
        <v>52.0</v>
      </c>
      <c r="D73" s="5" t="s">
        <v>138</v>
      </c>
    </row>
    <row r="74" ht="15.75" customHeight="1">
      <c r="C74" s="2"/>
    </row>
    <row r="75" ht="15.75" customHeight="1">
      <c r="C75" s="2"/>
    </row>
    <row r="76" ht="15.75" customHeight="1">
      <c r="C76" s="2"/>
    </row>
    <row r="77" ht="15.75" customHeight="1">
      <c r="C77" s="2"/>
    </row>
    <row r="78" ht="15.75" customHeight="1">
      <c r="C78" s="2"/>
    </row>
    <row r="79" ht="15.75" customHeight="1">
      <c r="C79" s="2"/>
    </row>
    <row r="80" ht="15.75" customHeight="1">
      <c r="C80" s="2"/>
    </row>
    <row r="81" ht="15.75" customHeight="1">
      <c r="C81" s="2"/>
    </row>
    <row r="82" ht="15.75" customHeight="1">
      <c r="C82" s="2"/>
    </row>
    <row r="83" ht="15.75" customHeight="1">
      <c r="C83" s="2"/>
    </row>
    <row r="84" ht="15.75" customHeight="1">
      <c r="C84" s="2"/>
    </row>
    <row r="85" ht="15.75" customHeight="1">
      <c r="C85" s="2"/>
    </row>
    <row r="86" ht="15.75" customHeight="1">
      <c r="C86" s="2"/>
    </row>
    <row r="87" ht="15.75" customHeight="1">
      <c r="C87" s="2"/>
    </row>
    <row r="88" ht="15.75" customHeight="1">
      <c r="C88" s="2"/>
    </row>
    <row r="89" ht="15.75" customHeight="1">
      <c r="C89" s="2"/>
    </row>
    <row r="90" ht="15.75" customHeight="1">
      <c r="C90" s="2"/>
    </row>
    <row r="91" ht="15.75" customHeight="1">
      <c r="C91" s="2"/>
    </row>
    <row r="92" ht="15.75" customHeight="1">
      <c r="C92" s="2"/>
    </row>
    <row r="93" ht="15.75" customHeight="1">
      <c r="C93" s="2"/>
    </row>
    <row r="94" ht="15.75" customHeight="1">
      <c r="C94" s="2"/>
    </row>
    <row r="95" ht="15.75" customHeight="1">
      <c r="C95" s="2"/>
    </row>
    <row r="96" ht="15.75" customHeight="1">
      <c r="C96" s="2"/>
    </row>
    <row r="97" ht="15.75" customHeight="1">
      <c r="C97" s="2"/>
    </row>
    <row r="98" ht="15.75" customHeight="1">
      <c r="C98" s="2"/>
    </row>
    <row r="99" ht="15.75" customHeight="1">
      <c r="C99" s="2"/>
    </row>
    <row r="100" ht="15.75" customHeight="1">
      <c r="C100" s="2"/>
    </row>
    <row r="101" ht="15.75" customHeight="1">
      <c r="C101" s="2"/>
    </row>
    <row r="102" ht="15.75" customHeight="1">
      <c r="C102" s="2"/>
    </row>
    <row r="103" ht="15.75" customHeight="1">
      <c r="C103" s="2"/>
    </row>
    <row r="104" ht="15.75" customHeight="1">
      <c r="C104" s="2"/>
    </row>
    <row r="105" ht="15.75" customHeight="1">
      <c r="C105" s="2"/>
    </row>
    <row r="106" ht="15.75" customHeight="1">
      <c r="C106" s="2"/>
    </row>
    <row r="107" ht="15.75" customHeight="1">
      <c r="C107" s="2"/>
    </row>
    <row r="108" ht="15.75" customHeight="1">
      <c r="C108" s="2"/>
    </row>
    <row r="109" ht="15.75" customHeight="1">
      <c r="C109" s="2"/>
    </row>
    <row r="110" ht="15.75" customHeight="1">
      <c r="C110" s="2"/>
    </row>
    <row r="111" ht="15.75" customHeight="1">
      <c r="C111" s="2"/>
    </row>
    <row r="112" ht="15.75" customHeight="1">
      <c r="C112" s="2"/>
    </row>
    <row r="113" ht="15.75" customHeight="1">
      <c r="C113" s="2"/>
    </row>
    <row r="114" ht="15.75" customHeight="1">
      <c r="C114" s="2"/>
    </row>
    <row r="115" ht="15.75" customHeight="1">
      <c r="C115" s="2"/>
    </row>
    <row r="116" ht="15.75" customHeight="1">
      <c r="C116" s="2"/>
    </row>
    <row r="117" ht="15.75" customHeight="1">
      <c r="C117" s="2"/>
    </row>
    <row r="118" ht="15.75" customHeight="1">
      <c r="C118" s="2"/>
    </row>
    <row r="119" ht="15.75" customHeight="1">
      <c r="C119" s="2"/>
    </row>
    <row r="120" ht="15.75" customHeight="1">
      <c r="C120" s="2"/>
    </row>
    <row r="121" ht="15.75" customHeight="1">
      <c r="C121" s="2"/>
    </row>
    <row r="122" ht="15.75" customHeight="1">
      <c r="C122" s="2"/>
    </row>
    <row r="123" ht="15.75" customHeight="1">
      <c r="C123" s="2"/>
    </row>
    <row r="124" ht="15.75" customHeight="1">
      <c r="C124" s="2"/>
    </row>
    <row r="125" ht="15.75" customHeight="1">
      <c r="C125" s="2"/>
    </row>
    <row r="126" ht="15.75" customHeight="1">
      <c r="C126" s="2"/>
    </row>
    <row r="127" ht="15.75" customHeight="1">
      <c r="C127" s="2"/>
    </row>
    <row r="128" ht="15.75" customHeight="1">
      <c r="C128" s="2"/>
    </row>
    <row r="129" ht="15.75" customHeight="1">
      <c r="C129" s="2"/>
    </row>
    <row r="130" ht="15.75" customHeight="1">
      <c r="C130" s="2"/>
    </row>
    <row r="131" ht="15.75" customHeight="1">
      <c r="C131" s="2"/>
    </row>
    <row r="132" ht="15.75" customHeight="1">
      <c r="C132" s="2"/>
    </row>
    <row r="133" ht="15.75" customHeight="1">
      <c r="C133" s="2"/>
    </row>
    <row r="134" ht="15.75" customHeight="1">
      <c r="C134" s="2"/>
    </row>
    <row r="135" ht="15.75" customHeight="1">
      <c r="C135" s="2"/>
    </row>
    <row r="136" ht="15.75" customHeight="1">
      <c r="C136" s="2"/>
    </row>
    <row r="137" ht="15.75" customHeight="1">
      <c r="C137" s="2"/>
    </row>
    <row r="138" ht="15.75" customHeight="1">
      <c r="C138" s="2"/>
    </row>
    <row r="139" ht="15.75" customHeight="1">
      <c r="C139" s="2"/>
    </row>
    <row r="140" ht="15.75" customHeight="1">
      <c r="C140" s="2"/>
    </row>
    <row r="141" ht="15.75" customHeight="1">
      <c r="C141" s="2"/>
    </row>
    <row r="142" ht="15.75" customHeight="1">
      <c r="C142" s="2"/>
    </row>
    <row r="143" ht="15.75" customHeight="1">
      <c r="C143" s="2"/>
    </row>
    <row r="144" ht="15.75" customHeight="1">
      <c r="C144" s="2"/>
    </row>
    <row r="145" ht="15.75" customHeight="1">
      <c r="C145" s="2"/>
    </row>
    <row r="146" ht="15.75" customHeight="1">
      <c r="C146" s="2"/>
    </row>
    <row r="147" ht="15.75" customHeight="1">
      <c r="C147" s="2"/>
    </row>
    <row r="148" ht="15.75" customHeight="1">
      <c r="C148" s="2"/>
    </row>
    <row r="149" ht="15.75" customHeight="1">
      <c r="C149" s="2"/>
    </row>
    <row r="150" ht="15.75" customHeight="1">
      <c r="C150" s="2"/>
    </row>
    <row r="151" ht="15.75" customHeight="1">
      <c r="C151" s="2"/>
    </row>
    <row r="152" ht="15.75" customHeight="1">
      <c r="C152" s="2"/>
    </row>
    <row r="153" ht="15.75" customHeight="1">
      <c r="C153" s="2"/>
    </row>
    <row r="154" ht="15.75" customHeight="1">
      <c r="C154" s="2"/>
    </row>
    <row r="155" ht="15.75" customHeight="1">
      <c r="C155" s="2"/>
    </row>
    <row r="156" ht="15.75" customHeight="1">
      <c r="C156" s="2"/>
    </row>
    <row r="157" ht="15.75" customHeight="1">
      <c r="C157" s="2"/>
    </row>
    <row r="158" ht="15.75" customHeight="1">
      <c r="C158" s="2"/>
    </row>
    <row r="159" ht="15.75" customHeight="1">
      <c r="C159" s="2"/>
    </row>
    <row r="160" ht="15.75" customHeight="1">
      <c r="C160" s="2"/>
    </row>
    <row r="161" ht="15.75" customHeight="1">
      <c r="C161" s="2"/>
    </row>
    <row r="162" ht="15.75" customHeight="1">
      <c r="C162" s="2"/>
    </row>
    <row r="163" ht="15.75" customHeight="1">
      <c r="C163" s="2"/>
    </row>
    <row r="164" ht="15.75" customHeight="1">
      <c r="C164" s="2"/>
    </row>
    <row r="165" ht="15.75" customHeight="1">
      <c r="C165" s="2"/>
    </row>
    <row r="166" ht="15.75" customHeight="1">
      <c r="C166" s="2"/>
    </row>
    <row r="167" ht="15.75" customHeight="1">
      <c r="C167" s="2"/>
    </row>
    <row r="168" ht="15.75" customHeight="1">
      <c r="C168" s="2"/>
    </row>
    <row r="169" ht="15.75" customHeight="1">
      <c r="C169" s="2"/>
    </row>
    <row r="170" ht="15.75" customHeight="1">
      <c r="C170" s="2"/>
    </row>
    <row r="171" ht="15.75" customHeight="1">
      <c r="C171" s="2"/>
    </row>
    <row r="172" ht="15.75" customHeight="1">
      <c r="C172" s="2"/>
    </row>
    <row r="173" ht="15.75" customHeight="1">
      <c r="C173" s="2"/>
    </row>
    <row r="174" ht="15.75" customHeight="1">
      <c r="C174" s="2"/>
    </row>
    <row r="175" ht="15.75" customHeight="1">
      <c r="C175" s="2"/>
    </row>
    <row r="176" ht="15.75" customHeight="1">
      <c r="C176" s="2"/>
    </row>
    <row r="177" ht="15.75" customHeight="1">
      <c r="C177" s="2"/>
    </row>
    <row r="178" ht="15.75" customHeight="1">
      <c r="C178" s="2"/>
    </row>
    <row r="179" ht="15.75" customHeight="1">
      <c r="C179" s="2"/>
    </row>
    <row r="180" ht="15.75" customHeight="1">
      <c r="C180" s="2"/>
    </row>
    <row r="181" ht="15.75" customHeight="1">
      <c r="C181" s="2"/>
    </row>
    <row r="182" ht="15.75" customHeight="1">
      <c r="C182" s="2"/>
    </row>
    <row r="183" ht="15.75" customHeight="1">
      <c r="C183" s="2"/>
    </row>
    <row r="184" ht="15.75" customHeight="1">
      <c r="C184" s="2"/>
    </row>
    <row r="185" ht="15.75" customHeight="1">
      <c r="C185" s="2"/>
    </row>
    <row r="186" ht="15.75" customHeight="1">
      <c r="C186" s="2"/>
    </row>
    <row r="187" ht="15.75" customHeight="1">
      <c r="C187" s="2"/>
    </row>
    <row r="188" ht="15.75" customHeight="1">
      <c r="C188" s="2"/>
    </row>
    <row r="189" ht="15.75" customHeight="1">
      <c r="C189" s="2"/>
    </row>
    <row r="190" ht="15.75" customHeight="1">
      <c r="C190" s="2"/>
    </row>
    <row r="191" ht="15.75" customHeight="1">
      <c r="C191" s="2"/>
    </row>
    <row r="192" ht="15.75" customHeight="1">
      <c r="C192" s="2"/>
    </row>
    <row r="193" ht="15.75" customHeight="1">
      <c r="C193" s="2"/>
    </row>
    <row r="194" ht="15.75" customHeight="1">
      <c r="C194" s="2"/>
    </row>
    <row r="195" ht="15.75" customHeight="1">
      <c r="C195" s="2"/>
    </row>
    <row r="196" ht="15.75" customHeight="1">
      <c r="C196" s="2"/>
    </row>
    <row r="197" ht="15.75" customHeight="1">
      <c r="C197" s="2"/>
    </row>
    <row r="198" ht="15.75" customHeight="1">
      <c r="C198" s="2"/>
    </row>
    <row r="199" ht="15.75" customHeight="1">
      <c r="C199" s="2"/>
    </row>
    <row r="200" ht="15.75" customHeight="1">
      <c r="C200" s="2"/>
    </row>
    <row r="201" ht="15.75" customHeight="1">
      <c r="C201" s="2"/>
    </row>
    <row r="202" ht="15.75" customHeight="1">
      <c r="C202" s="2"/>
    </row>
    <row r="203" ht="15.75" customHeight="1">
      <c r="C203" s="2"/>
    </row>
    <row r="204" ht="15.75" customHeight="1">
      <c r="C204" s="2"/>
    </row>
    <row r="205" ht="15.75" customHeight="1">
      <c r="C205" s="2"/>
    </row>
    <row r="206" ht="15.75" customHeight="1">
      <c r="C206" s="2"/>
    </row>
    <row r="207" ht="15.75" customHeight="1">
      <c r="C207" s="2"/>
    </row>
    <row r="208" ht="15.75" customHeight="1">
      <c r="C208" s="2"/>
    </row>
    <row r="209" ht="15.75" customHeight="1">
      <c r="C209" s="2"/>
    </row>
    <row r="210" ht="15.75" customHeight="1">
      <c r="C210" s="2"/>
    </row>
    <row r="211" ht="15.75" customHeight="1">
      <c r="C211" s="2"/>
    </row>
    <row r="212" ht="15.75" customHeight="1">
      <c r="C212" s="2"/>
    </row>
    <row r="213" ht="15.75" customHeight="1">
      <c r="C213" s="2"/>
    </row>
    <row r="214" ht="15.75" customHeight="1">
      <c r="C214" s="2"/>
    </row>
    <row r="215" ht="15.75" customHeight="1">
      <c r="C215" s="2"/>
    </row>
    <row r="216" ht="15.75" customHeight="1">
      <c r="C216" s="2"/>
    </row>
    <row r="217" ht="15.75" customHeight="1">
      <c r="C217" s="2"/>
    </row>
    <row r="218" ht="15.75" customHeight="1">
      <c r="C218" s="2"/>
    </row>
    <row r="219" ht="15.75" customHeight="1">
      <c r="C219" s="2"/>
    </row>
    <row r="220" ht="15.75" customHeight="1">
      <c r="C220" s="2"/>
    </row>
    <row r="221" ht="15.75" customHeight="1">
      <c r="C221" s="2"/>
    </row>
    <row r="222" ht="15.75" customHeight="1">
      <c r="C222" s="2"/>
    </row>
    <row r="223" ht="15.75" customHeight="1">
      <c r="C223" s="2"/>
    </row>
    <row r="224" ht="15.75" customHeight="1">
      <c r="C224" s="2"/>
    </row>
    <row r="225" ht="15.75" customHeight="1">
      <c r="C225" s="2"/>
    </row>
    <row r="226" ht="15.75" customHeight="1">
      <c r="C226" s="2"/>
    </row>
    <row r="227" ht="15.75" customHeight="1">
      <c r="C227" s="2"/>
    </row>
    <row r="228" ht="15.75" customHeight="1">
      <c r="C228" s="2"/>
    </row>
    <row r="229" ht="15.75" customHeight="1">
      <c r="C229" s="2"/>
    </row>
    <row r="230" ht="15.75" customHeight="1">
      <c r="C230" s="2"/>
    </row>
    <row r="231" ht="15.75" customHeight="1">
      <c r="C231" s="2"/>
    </row>
    <row r="232" ht="15.75" customHeight="1">
      <c r="C232" s="2"/>
    </row>
    <row r="233" ht="15.75" customHeight="1">
      <c r="C233" s="2"/>
    </row>
    <row r="234" ht="15.75" customHeight="1">
      <c r="C234" s="2"/>
    </row>
    <row r="235" ht="15.75" customHeight="1">
      <c r="C235" s="2"/>
    </row>
    <row r="236" ht="15.75" customHeight="1">
      <c r="C236" s="2"/>
    </row>
    <row r="237" ht="15.75" customHeight="1">
      <c r="C237" s="2"/>
    </row>
    <row r="238" ht="15.75" customHeight="1">
      <c r="C238" s="2"/>
    </row>
    <row r="239" ht="15.75" customHeight="1">
      <c r="C239" s="2"/>
    </row>
    <row r="240" ht="15.75" customHeight="1">
      <c r="C240" s="2"/>
    </row>
    <row r="241" ht="15.75" customHeight="1">
      <c r="C241" s="2"/>
    </row>
    <row r="242" ht="15.75" customHeight="1">
      <c r="C242" s="2"/>
    </row>
    <row r="243" ht="15.75" customHeight="1">
      <c r="C243" s="2"/>
    </row>
    <row r="244" ht="15.75" customHeight="1">
      <c r="C244" s="2"/>
    </row>
    <row r="245" ht="15.75" customHeight="1">
      <c r="C245" s="2"/>
    </row>
    <row r="246" ht="15.75" customHeight="1">
      <c r="C246" s="2"/>
    </row>
    <row r="247" ht="15.75" customHeight="1">
      <c r="C247" s="2"/>
    </row>
    <row r="248" ht="15.75" customHeight="1">
      <c r="C248" s="2"/>
    </row>
    <row r="249" ht="15.75" customHeight="1">
      <c r="C249" s="2"/>
    </row>
    <row r="250" ht="15.75" customHeight="1">
      <c r="C250" s="2"/>
    </row>
    <row r="251" ht="15.75" customHeight="1">
      <c r="C251" s="2"/>
    </row>
    <row r="252" ht="15.75" customHeight="1">
      <c r="C252" s="2"/>
    </row>
    <row r="253" ht="15.75" customHeight="1">
      <c r="C253" s="2"/>
    </row>
    <row r="254" ht="15.75" customHeight="1">
      <c r="C254" s="2"/>
    </row>
    <row r="255" ht="15.75" customHeight="1">
      <c r="C255" s="2"/>
    </row>
    <row r="256" ht="15.75" customHeight="1">
      <c r="C256" s="2"/>
    </row>
    <row r="257" ht="15.75" customHeight="1">
      <c r="C257" s="2"/>
    </row>
    <row r="258" ht="15.75" customHeight="1">
      <c r="C258" s="2"/>
    </row>
    <row r="259" ht="15.75" customHeight="1">
      <c r="C259" s="2"/>
    </row>
    <row r="260" ht="15.75" customHeight="1">
      <c r="C260" s="2"/>
    </row>
    <row r="261" ht="15.75" customHeight="1">
      <c r="C261" s="2"/>
    </row>
    <row r="262" ht="15.75" customHeight="1">
      <c r="C262" s="2"/>
    </row>
    <row r="263" ht="15.75" customHeight="1">
      <c r="C263" s="2"/>
    </row>
    <row r="264" ht="15.75" customHeight="1">
      <c r="C264" s="2"/>
    </row>
    <row r="265" ht="15.75" customHeight="1">
      <c r="C265" s="2"/>
    </row>
    <row r="266" ht="15.75" customHeight="1">
      <c r="C266" s="2"/>
    </row>
    <row r="267" ht="15.75" customHeight="1">
      <c r="C267" s="2"/>
    </row>
    <row r="268" ht="15.75" customHeight="1">
      <c r="C268" s="2"/>
    </row>
    <row r="269" ht="15.75" customHeight="1">
      <c r="C269" s="2"/>
    </row>
    <row r="270" ht="15.75" customHeight="1">
      <c r="C270" s="2"/>
    </row>
    <row r="271" ht="15.75" customHeight="1">
      <c r="C271" s="2"/>
    </row>
    <row r="272" ht="15.75" customHeight="1">
      <c r="C272" s="2"/>
    </row>
    <row r="273" ht="15.75" customHeight="1">
      <c r="C273" s="2"/>
    </row>
    <row r="274" ht="15.75" customHeight="1">
      <c r="C274" s="2"/>
    </row>
    <row r="275" ht="15.75" customHeight="1">
      <c r="C275" s="2"/>
    </row>
    <row r="276" ht="15.75" customHeight="1">
      <c r="C276" s="2"/>
    </row>
    <row r="277" ht="15.75" customHeight="1">
      <c r="C277" s="2"/>
    </row>
    <row r="278" ht="15.75" customHeight="1">
      <c r="C278" s="2"/>
    </row>
    <row r="279" ht="15.75" customHeight="1">
      <c r="C279" s="2"/>
    </row>
    <row r="280" ht="15.75" customHeight="1">
      <c r="C280" s="2"/>
    </row>
    <row r="281" ht="15.75" customHeight="1">
      <c r="C281" s="2"/>
    </row>
    <row r="282" ht="15.75" customHeight="1">
      <c r="C282" s="2"/>
    </row>
    <row r="283" ht="15.75" customHeight="1">
      <c r="C283" s="2"/>
    </row>
    <row r="284" ht="15.75" customHeight="1">
      <c r="C284" s="2"/>
    </row>
    <row r="285" ht="15.75" customHeight="1">
      <c r="C285" s="2"/>
    </row>
    <row r="286" ht="15.75" customHeight="1">
      <c r="C286" s="2"/>
    </row>
    <row r="287" ht="15.75" customHeight="1">
      <c r="C287" s="2"/>
    </row>
    <row r="288" ht="15.75" customHeight="1">
      <c r="C288" s="2"/>
    </row>
    <row r="289" ht="15.75" customHeight="1">
      <c r="C289" s="2"/>
    </row>
    <row r="290" ht="15.75" customHeight="1">
      <c r="C290" s="2"/>
    </row>
    <row r="291" ht="15.75" customHeight="1">
      <c r="C291" s="2"/>
    </row>
    <row r="292" ht="15.75" customHeight="1">
      <c r="C292" s="2"/>
    </row>
    <row r="293" ht="15.75" customHeight="1">
      <c r="C293" s="2"/>
    </row>
    <row r="294" ht="15.75" customHeight="1">
      <c r="C294" s="2"/>
    </row>
    <row r="295" ht="15.75" customHeight="1">
      <c r="C295" s="2"/>
    </row>
    <row r="296" ht="15.75" customHeight="1">
      <c r="C296" s="2"/>
    </row>
    <row r="297" ht="15.75" customHeight="1">
      <c r="C297" s="2"/>
    </row>
    <row r="298" ht="15.75" customHeight="1">
      <c r="C298" s="2"/>
    </row>
    <row r="299" ht="15.75" customHeight="1">
      <c r="C299" s="2"/>
    </row>
    <row r="300" ht="15.75" customHeight="1">
      <c r="C300" s="2"/>
    </row>
    <row r="301" ht="15.75" customHeight="1">
      <c r="C301" s="2"/>
    </row>
    <row r="302" ht="15.75" customHeight="1">
      <c r="C302" s="2"/>
    </row>
    <row r="303" ht="15.75" customHeight="1">
      <c r="C303" s="2"/>
    </row>
    <row r="304" ht="15.75" customHeight="1">
      <c r="C304" s="2"/>
    </row>
    <row r="305" ht="15.75" customHeight="1">
      <c r="C305" s="2"/>
    </row>
    <row r="306" ht="15.75" customHeight="1">
      <c r="C306" s="2"/>
    </row>
    <row r="307" ht="15.75" customHeight="1">
      <c r="C307" s="2"/>
    </row>
    <row r="308" ht="15.75" customHeight="1">
      <c r="C308" s="2"/>
    </row>
    <row r="309" ht="15.75" customHeight="1">
      <c r="C309" s="2"/>
    </row>
    <row r="310" ht="15.75" customHeight="1">
      <c r="C310" s="2"/>
    </row>
    <row r="311" ht="15.75" customHeight="1">
      <c r="C311" s="2"/>
    </row>
    <row r="312" ht="15.75" customHeight="1">
      <c r="C312" s="2"/>
    </row>
    <row r="313" ht="15.75" customHeight="1">
      <c r="C313" s="2"/>
    </row>
    <row r="314" ht="15.75" customHeight="1">
      <c r="C314" s="2"/>
    </row>
    <row r="315" ht="15.75" customHeight="1">
      <c r="C315" s="2"/>
    </row>
    <row r="316" ht="15.75" customHeight="1">
      <c r="C316" s="2"/>
    </row>
    <row r="317" ht="15.75" customHeight="1">
      <c r="C317" s="2"/>
    </row>
    <row r="318" ht="15.75" customHeight="1">
      <c r="C318" s="2"/>
    </row>
    <row r="319" ht="15.75" customHeight="1">
      <c r="C319" s="2"/>
    </row>
    <row r="320" ht="15.75" customHeight="1">
      <c r="C320" s="2"/>
    </row>
    <row r="321" ht="15.75" customHeight="1">
      <c r="C321" s="2"/>
    </row>
    <row r="322" ht="15.75" customHeight="1">
      <c r="C322" s="2"/>
    </row>
    <row r="323" ht="15.75" customHeight="1">
      <c r="C323" s="2"/>
    </row>
    <row r="324" ht="15.75" customHeight="1">
      <c r="C324" s="2"/>
    </row>
    <row r="325" ht="15.75" customHeight="1">
      <c r="C325" s="2"/>
    </row>
    <row r="326" ht="15.75" customHeight="1">
      <c r="C326" s="2"/>
    </row>
    <row r="327" ht="15.75" customHeight="1">
      <c r="C327" s="2"/>
    </row>
    <row r="328" ht="15.75" customHeight="1">
      <c r="C328" s="2"/>
    </row>
    <row r="329" ht="15.75" customHeight="1">
      <c r="C329" s="2"/>
    </row>
    <row r="330" ht="15.75" customHeight="1">
      <c r="C330" s="2"/>
    </row>
    <row r="331" ht="15.75" customHeight="1">
      <c r="C331" s="2"/>
    </row>
    <row r="332" ht="15.75" customHeight="1">
      <c r="C332" s="2"/>
    </row>
    <row r="333" ht="15.75" customHeight="1">
      <c r="C333" s="2"/>
    </row>
    <row r="334" ht="15.75" customHeight="1">
      <c r="C334" s="2"/>
    </row>
    <row r="335" ht="15.75" customHeight="1">
      <c r="C335" s="2"/>
    </row>
    <row r="336" ht="15.75" customHeight="1">
      <c r="C336" s="2"/>
    </row>
    <row r="337" ht="15.75" customHeight="1">
      <c r="C337" s="2"/>
    </row>
    <row r="338" ht="15.75" customHeight="1">
      <c r="C338" s="2"/>
    </row>
    <row r="339" ht="15.75" customHeight="1">
      <c r="C339" s="2"/>
    </row>
    <row r="340" ht="15.75" customHeight="1">
      <c r="C340" s="2"/>
    </row>
    <row r="341" ht="15.75" customHeight="1">
      <c r="C341" s="2"/>
    </row>
    <row r="342" ht="15.75" customHeight="1">
      <c r="C342" s="2"/>
    </row>
    <row r="343" ht="15.75" customHeight="1">
      <c r="C343" s="2"/>
    </row>
    <row r="344" ht="15.75" customHeight="1">
      <c r="C344" s="2"/>
    </row>
    <row r="345" ht="15.75" customHeight="1">
      <c r="C345" s="2"/>
    </row>
    <row r="346" ht="15.75" customHeight="1">
      <c r="C346" s="2"/>
    </row>
    <row r="347" ht="15.75" customHeight="1">
      <c r="C347" s="2"/>
    </row>
    <row r="348" ht="15.75" customHeight="1">
      <c r="C348" s="2"/>
    </row>
    <row r="349" ht="15.75" customHeight="1">
      <c r="C349" s="2"/>
    </row>
    <row r="350" ht="15.75" customHeight="1">
      <c r="C350" s="2"/>
    </row>
    <row r="351" ht="15.75" customHeight="1">
      <c r="C351" s="2"/>
    </row>
    <row r="352" ht="15.75" customHeight="1">
      <c r="C352" s="2"/>
    </row>
    <row r="353" ht="15.75" customHeight="1">
      <c r="C353" s="2"/>
    </row>
    <row r="354" ht="15.75" customHeight="1">
      <c r="C354" s="2"/>
    </row>
    <row r="355" ht="15.75" customHeight="1">
      <c r="C355" s="2"/>
    </row>
    <row r="356" ht="15.75" customHeight="1">
      <c r="C356" s="2"/>
    </row>
    <row r="357" ht="15.75" customHeight="1">
      <c r="C357" s="2"/>
    </row>
    <row r="358" ht="15.75" customHeight="1">
      <c r="C358" s="2"/>
    </row>
    <row r="359" ht="15.75" customHeight="1">
      <c r="C359" s="2"/>
    </row>
    <row r="360" ht="15.75" customHeight="1">
      <c r="C360" s="2"/>
    </row>
    <row r="361" ht="15.75" customHeight="1">
      <c r="C361" s="2"/>
    </row>
    <row r="362" ht="15.75" customHeight="1">
      <c r="C362" s="2"/>
    </row>
    <row r="363" ht="15.75" customHeight="1">
      <c r="C363" s="2"/>
    </row>
    <row r="364" ht="15.75" customHeight="1">
      <c r="C364" s="2"/>
    </row>
    <row r="365" ht="15.75" customHeight="1">
      <c r="C365" s="2"/>
    </row>
    <row r="366" ht="15.75" customHeight="1">
      <c r="C366" s="2"/>
    </row>
    <row r="367" ht="15.75" customHeight="1">
      <c r="C367" s="2"/>
    </row>
    <row r="368" ht="15.75" customHeight="1">
      <c r="C368" s="2"/>
    </row>
    <row r="369" ht="15.75" customHeight="1">
      <c r="C369" s="2"/>
    </row>
    <row r="370" ht="15.75" customHeight="1">
      <c r="C370" s="2"/>
    </row>
    <row r="371" ht="15.75" customHeight="1">
      <c r="C371" s="2"/>
    </row>
    <row r="372" ht="15.75" customHeight="1">
      <c r="C372" s="2"/>
    </row>
    <row r="373" ht="15.75" customHeight="1">
      <c r="C373" s="2"/>
    </row>
    <row r="374" ht="15.75" customHeight="1">
      <c r="C374" s="2"/>
    </row>
    <row r="375" ht="15.75" customHeight="1">
      <c r="C375" s="2"/>
    </row>
    <row r="376" ht="15.75" customHeight="1">
      <c r="C376" s="2"/>
    </row>
    <row r="377" ht="15.75" customHeight="1">
      <c r="C377" s="2"/>
    </row>
    <row r="378" ht="15.75" customHeight="1">
      <c r="C378" s="2"/>
    </row>
    <row r="379" ht="15.75" customHeight="1">
      <c r="C379" s="2"/>
    </row>
    <row r="380" ht="15.75" customHeight="1">
      <c r="C380" s="2"/>
    </row>
    <row r="381" ht="15.75" customHeight="1">
      <c r="C381" s="2"/>
    </row>
    <row r="382" ht="15.75" customHeight="1">
      <c r="C382" s="2"/>
    </row>
    <row r="383" ht="15.75" customHeight="1">
      <c r="C383" s="2"/>
    </row>
    <row r="384" ht="15.75" customHeight="1">
      <c r="C384" s="2"/>
    </row>
    <row r="385" ht="15.75" customHeight="1">
      <c r="C385" s="2"/>
    </row>
    <row r="386" ht="15.75" customHeight="1">
      <c r="C386" s="2"/>
    </row>
    <row r="387" ht="15.75" customHeight="1">
      <c r="C387" s="2"/>
    </row>
    <row r="388" ht="15.75" customHeight="1">
      <c r="C388" s="2"/>
    </row>
    <row r="389" ht="15.75" customHeight="1">
      <c r="C389" s="2"/>
    </row>
    <row r="390" ht="15.75" customHeight="1">
      <c r="C390" s="2"/>
    </row>
    <row r="391" ht="15.75" customHeight="1">
      <c r="C391" s="2"/>
    </row>
    <row r="392" ht="15.75" customHeight="1">
      <c r="C392" s="2"/>
    </row>
    <row r="393" ht="15.75" customHeight="1">
      <c r="C393" s="2"/>
    </row>
    <row r="394" ht="15.75" customHeight="1">
      <c r="C394" s="2"/>
    </row>
    <row r="395" ht="15.75" customHeight="1">
      <c r="C395" s="2"/>
    </row>
    <row r="396" ht="15.75" customHeight="1">
      <c r="C396" s="2"/>
    </row>
    <row r="397" ht="15.75" customHeight="1">
      <c r="C397" s="2"/>
    </row>
    <row r="398" ht="15.75" customHeight="1">
      <c r="C398" s="2"/>
    </row>
    <row r="399" ht="15.75" customHeight="1">
      <c r="C399" s="2"/>
    </row>
    <row r="400" ht="15.75" customHeight="1">
      <c r="C400" s="2"/>
    </row>
    <row r="401" ht="15.75" customHeight="1">
      <c r="C401" s="2"/>
    </row>
    <row r="402" ht="15.75" customHeight="1">
      <c r="C402" s="2"/>
    </row>
    <row r="403" ht="15.75" customHeight="1">
      <c r="C403" s="2"/>
    </row>
    <row r="404" ht="15.75" customHeight="1">
      <c r="C404" s="2"/>
    </row>
    <row r="405" ht="15.75" customHeight="1">
      <c r="C405" s="2"/>
    </row>
    <row r="406" ht="15.75" customHeight="1">
      <c r="C406" s="2"/>
    </row>
    <row r="407" ht="15.75" customHeight="1">
      <c r="C407" s="2"/>
    </row>
    <row r="408" ht="15.75" customHeight="1">
      <c r="C408" s="2"/>
    </row>
    <row r="409" ht="15.75" customHeight="1">
      <c r="C409" s="2"/>
    </row>
    <row r="410" ht="15.75" customHeight="1">
      <c r="C410" s="2"/>
    </row>
    <row r="411" ht="15.75" customHeight="1">
      <c r="C411" s="2"/>
    </row>
    <row r="412" ht="15.75" customHeight="1">
      <c r="C412" s="2"/>
    </row>
    <row r="413" ht="15.75" customHeight="1">
      <c r="C413" s="2"/>
    </row>
    <row r="414" ht="15.75" customHeight="1">
      <c r="C414" s="2"/>
    </row>
    <row r="415" ht="15.75" customHeight="1">
      <c r="C415" s="2"/>
    </row>
    <row r="416" ht="15.75" customHeight="1">
      <c r="C416" s="2"/>
    </row>
    <row r="417" ht="15.75" customHeight="1">
      <c r="C417" s="2"/>
    </row>
    <row r="418" ht="15.75" customHeight="1">
      <c r="C418" s="2"/>
    </row>
    <row r="419" ht="15.75" customHeight="1">
      <c r="C419" s="2"/>
    </row>
    <row r="420" ht="15.75" customHeight="1">
      <c r="C420" s="2"/>
    </row>
    <row r="421" ht="15.75" customHeight="1">
      <c r="C421" s="2"/>
    </row>
    <row r="422" ht="15.75" customHeight="1">
      <c r="C422" s="2"/>
    </row>
    <row r="423" ht="15.75" customHeight="1">
      <c r="C423" s="2"/>
    </row>
    <row r="424" ht="15.75" customHeight="1">
      <c r="C424" s="2"/>
    </row>
    <row r="425" ht="15.75" customHeight="1">
      <c r="C425" s="2"/>
    </row>
    <row r="426" ht="15.75" customHeight="1">
      <c r="C426" s="2"/>
    </row>
    <row r="427" ht="15.75" customHeight="1">
      <c r="C427" s="2"/>
    </row>
    <row r="428" ht="15.75" customHeight="1">
      <c r="C428" s="2"/>
    </row>
    <row r="429" ht="15.75" customHeight="1">
      <c r="C429" s="2"/>
    </row>
    <row r="430" ht="15.75" customHeight="1">
      <c r="C430" s="2"/>
    </row>
    <row r="431" ht="15.75" customHeight="1">
      <c r="C431" s="2"/>
    </row>
    <row r="432" ht="15.75" customHeight="1">
      <c r="C432" s="2"/>
    </row>
    <row r="433" ht="15.75" customHeight="1">
      <c r="C433" s="2"/>
    </row>
    <row r="434" ht="15.75" customHeight="1">
      <c r="C434" s="2"/>
    </row>
    <row r="435" ht="15.75" customHeight="1">
      <c r="C435" s="2"/>
    </row>
    <row r="436" ht="15.75" customHeight="1">
      <c r="C436" s="2"/>
    </row>
    <row r="437" ht="15.75" customHeight="1">
      <c r="C437" s="2"/>
    </row>
    <row r="438" ht="15.75" customHeight="1">
      <c r="C438" s="2"/>
    </row>
    <row r="439" ht="15.75" customHeight="1">
      <c r="C439" s="2"/>
    </row>
    <row r="440" ht="15.75" customHeight="1">
      <c r="C440" s="2"/>
    </row>
    <row r="441" ht="15.75" customHeight="1">
      <c r="C441" s="2"/>
    </row>
    <row r="442" ht="15.75" customHeight="1">
      <c r="C442" s="2"/>
    </row>
    <row r="443" ht="15.75" customHeight="1">
      <c r="C443" s="2"/>
    </row>
    <row r="444" ht="15.75" customHeight="1">
      <c r="C444" s="2"/>
    </row>
    <row r="445" ht="15.75" customHeight="1">
      <c r="C445" s="2"/>
    </row>
    <row r="446" ht="15.75" customHeight="1">
      <c r="C446" s="2"/>
    </row>
    <row r="447" ht="15.75" customHeight="1">
      <c r="C447" s="2"/>
    </row>
    <row r="448" ht="15.75" customHeight="1">
      <c r="C448" s="2"/>
    </row>
    <row r="449" ht="15.75" customHeight="1">
      <c r="C449" s="2"/>
    </row>
    <row r="450" ht="15.75" customHeight="1">
      <c r="C450" s="2"/>
    </row>
    <row r="451" ht="15.75" customHeight="1">
      <c r="C451" s="2"/>
    </row>
    <row r="452" ht="15.75" customHeight="1">
      <c r="C452" s="2"/>
    </row>
    <row r="453" ht="15.75" customHeight="1">
      <c r="C453" s="2"/>
    </row>
    <row r="454" ht="15.75" customHeight="1">
      <c r="C454" s="2"/>
    </row>
    <row r="455" ht="15.75" customHeight="1">
      <c r="C455" s="2"/>
    </row>
    <row r="456" ht="15.75" customHeight="1">
      <c r="C456" s="2"/>
    </row>
    <row r="457" ht="15.75" customHeight="1">
      <c r="C457" s="2"/>
    </row>
    <row r="458" ht="15.75" customHeight="1">
      <c r="C458" s="2"/>
    </row>
    <row r="459" ht="15.75" customHeight="1">
      <c r="C459" s="2"/>
    </row>
    <row r="460" ht="15.75" customHeight="1">
      <c r="C460" s="2"/>
    </row>
    <row r="461" ht="15.75" customHeight="1">
      <c r="C461" s="2"/>
    </row>
    <row r="462" ht="15.75" customHeight="1">
      <c r="C462" s="2"/>
    </row>
    <row r="463" ht="15.75" customHeight="1">
      <c r="C463" s="2"/>
    </row>
    <row r="464" ht="15.75" customHeight="1">
      <c r="C464" s="2"/>
    </row>
    <row r="465" ht="15.75" customHeight="1">
      <c r="C465" s="2"/>
    </row>
    <row r="466" ht="15.75" customHeight="1">
      <c r="C466" s="2"/>
    </row>
    <row r="467" ht="15.75" customHeight="1">
      <c r="C467" s="2"/>
    </row>
    <row r="468" ht="15.75" customHeight="1">
      <c r="C468" s="2"/>
    </row>
    <row r="469" ht="15.75" customHeight="1">
      <c r="C469" s="2"/>
    </row>
    <row r="470" ht="15.75" customHeight="1">
      <c r="C470" s="2"/>
    </row>
    <row r="471" ht="15.75" customHeight="1">
      <c r="C471" s="2"/>
    </row>
    <row r="472" ht="15.75" customHeight="1">
      <c r="C472" s="2"/>
    </row>
    <row r="473" ht="15.75" customHeight="1">
      <c r="C473" s="2"/>
    </row>
    <row r="474" ht="15.75" customHeight="1">
      <c r="C474" s="2"/>
    </row>
    <row r="475" ht="15.75" customHeight="1">
      <c r="C475" s="2"/>
    </row>
    <row r="476" ht="15.75" customHeight="1">
      <c r="C476" s="2"/>
    </row>
    <row r="477" ht="15.75" customHeight="1">
      <c r="C477" s="2"/>
    </row>
    <row r="478" ht="15.75" customHeight="1">
      <c r="C478" s="2"/>
    </row>
    <row r="479" ht="15.75" customHeight="1">
      <c r="C479" s="2"/>
    </row>
    <row r="480" ht="15.75" customHeight="1">
      <c r="C480" s="2"/>
    </row>
    <row r="481" ht="15.75" customHeight="1">
      <c r="C481" s="2"/>
    </row>
    <row r="482" ht="15.75" customHeight="1">
      <c r="C482" s="2"/>
    </row>
    <row r="483" ht="15.75" customHeight="1">
      <c r="C483" s="2"/>
    </row>
    <row r="484" ht="15.75" customHeight="1">
      <c r="C484" s="2"/>
    </row>
    <row r="485" ht="15.75" customHeight="1">
      <c r="C485" s="2"/>
    </row>
    <row r="486" ht="15.75" customHeight="1">
      <c r="C486" s="2"/>
    </row>
    <row r="487" ht="15.75" customHeight="1">
      <c r="C487" s="2"/>
    </row>
    <row r="488" ht="15.75" customHeight="1">
      <c r="C488" s="2"/>
    </row>
    <row r="489" ht="15.75" customHeight="1">
      <c r="C489" s="2"/>
    </row>
    <row r="490" ht="15.75" customHeight="1">
      <c r="C490" s="2"/>
    </row>
    <row r="491" ht="15.75" customHeight="1">
      <c r="C491" s="2"/>
    </row>
    <row r="492" ht="15.75" customHeight="1">
      <c r="C492" s="2"/>
    </row>
    <row r="493" ht="15.75" customHeight="1">
      <c r="C493" s="2"/>
    </row>
    <row r="494" ht="15.75" customHeight="1">
      <c r="C494" s="2"/>
    </row>
    <row r="495" ht="15.75" customHeight="1">
      <c r="C495" s="2"/>
    </row>
    <row r="496" ht="15.75" customHeight="1">
      <c r="C496" s="2"/>
    </row>
    <row r="497" ht="15.75" customHeight="1">
      <c r="C497" s="2"/>
    </row>
    <row r="498" ht="15.75" customHeight="1">
      <c r="C498" s="2"/>
    </row>
    <row r="499" ht="15.75" customHeight="1">
      <c r="C499" s="2"/>
    </row>
    <row r="500" ht="15.75" customHeight="1">
      <c r="C500" s="2"/>
    </row>
    <row r="501" ht="15.75" customHeight="1">
      <c r="C501" s="2"/>
    </row>
    <row r="502" ht="15.75" customHeight="1">
      <c r="C502" s="2"/>
    </row>
    <row r="503" ht="15.75" customHeight="1">
      <c r="C503" s="2"/>
    </row>
    <row r="504" ht="15.75" customHeight="1">
      <c r="C504" s="2"/>
    </row>
    <row r="505" ht="15.75" customHeight="1">
      <c r="C505" s="2"/>
    </row>
    <row r="506" ht="15.75" customHeight="1">
      <c r="C506" s="2"/>
    </row>
    <row r="507" ht="15.75" customHeight="1">
      <c r="C507" s="2"/>
    </row>
    <row r="508" ht="15.75" customHeight="1">
      <c r="C508" s="2"/>
    </row>
    <row r="509" ht="15.75" customHeight="1">
      <c r="C509" s="2"/>
    </row>
    <row r="510" ht="15.75" customHeight="1">
      <c r="C510" s="2"/>
    </row>
    <row r="511" ht="15.75" customHeight="1">
      <c r="C511" s="2"/>
    </row>
    <row r="512" ht="15.75" customHeight="1">
      <c r="C512" s="2"/>
    </row>
    <row r="513" ht="15.75" customHeight="1">
      <c r="C513" s="2"/>
    </row>
    <row r="514" ht="15.75" customHeight="1">
      <c r="C514" s="2"/>
    </row>
    <row r="515" ht="15.75" customHeight="1">
      <c r="C515" s="2"/>
    </row>
    <row r="516" ht="15.75" customHeight="1">
      <c r="C516" s="2"/>
    </row>
    <row r="517" ht="15.75" customHeight="1">
      <c r="C517" s="2"/>
    </row>
    <row r="518" ht="15.75" customHeight="1">
      <c r="C518" s="2"/>
    </row>
    <row r="519" ht="15.75" customHeight="1">
      <c r="C519" s="2"/>
    </row>
    <row r="520" ht="15.75" customHeight="1">
      <c r="C520" s="2"/>
    </row>
    <row r="521" ht="15.75" customHeight="1">
      <c r="C521" s="2"/>
    </row>
    <row r="522" ht="15.75" customHeight="1">
      <c r="C522" s="2"/>
    </row>
    <row r="523" ht="15.75" customHeight="1">
      <c r="C523" s="2"/>
    </row>
    <row r="524" ht="15.75" customHeight="1">
      <c r="C524" s="2"/>
    </row>
    <row r="525" ht="15.75" customHeight="1">
      <c r="C525" s="2"/>
    </row>
    <row r="526" ht="15.75" customHeight="1">
      <c r="C526" s="2"/>
    </row>
    <row r="527" ht="15.75" customHeight="1">
      <c r="C527" s="2"/>
    </row>
    <row r="528" ht="15.75" customHeight="1">
      <c r="C528" s="2"/>
    </row>
    <row r="529" ht="15.75" customHeight="1">
      <c r="C529" s="2"/>
    </row>
    <row r="530" ht="15.75" customHeight="1">
      <c r="C530" s="2"/>
    </row>
    <row r="531" ht="15.75" customHeight="1">
      <c r="C531" s="2"/>
    </row>
    <row r="532" ht="15.75" customHeight="1">
      <c r="C532" s="2"/>
    </row>
    <row r="533" ht="15.75" customHeight="1">
      <c r="C533" s="2"/>
    </row>
    <row r="534" ht="15.75" customHeight="1">
      <c r="C534" s="2"/>
    </row>
    <row r="535" ht="15.75" customHeight="1">
      <c r="C535" s="2"/>
    </row>
    <row r="536" ht="15.75" customHeight="1">
      <c r="C536" s="2"/>
    </row>
    <row r="537" ht="15.75" customHeight="1">
      <c r="C537" s="2"/>
    </row>
    <row r="538" ht="15.75" customHeight="1">
      <c r="C538" s="2"/>
    </row>
    <row r="539" ht="15.75" customHeight="1">
      <c r="C539" s="2"/>
    </row>
    <row r="540" ht="15.75" customHeight="1">
      <c r="C540" s="2"/>
    </row>
    <row r="541" ht="15.75" customHeight="1">
      <c r="C541" s="2"/>
    </row>
    <row r="542" ht="15.75" customHeight="1">
      <c r="C542" s="2"/>
    </row>
    <row r="543" ht="15.75" customHeight="1">
      <c r="C543" s="2"/>
    </row>
    <row r="544" ht="15.75" customHeight="1">
      <c r="C544" s="2"/>
    </row>
    <row r="545" ht="15.75" customHeight="1">
      <c r="C545" s="2"/>
    </row>
    <row r="546" ht="15.75" customHeight="1">
      <c r="C546" s="2"/>
    </row>
    <row r="547" ht="15.75" customHeight="1">
      <c r="C547" s="2"/>
    </row>
    <row r="548" ht="15.75" customHeight="1">
      <c r="C548" s="2"/>
    </row>
    <row r="549" ht="15.75" customHeight="1">
      <c r="C549" s="2"/>
    </row>
    <row r="550" ht="15.75" customHeight="1">
      <c r="C550" s="2"/>
    </row>
    <row r="551" ht="15.75" customHeight="1">
      <c r="C551" s="2"/>
    </row>
    <row r="552" ht="15.75" customHeight="1">
      <c r="C552" s="2"/>
    </row>
    <row r="553" ht="15.75" customHeight="1">
      <c r="C553" s="2"/>
    </row>
    <row r="554" ht="15.75" customHeight="1">
      <c r="C554" s="2"/>
    </row>
    <row r="555" ht="15.75" customHeight="1">
      <c r="C555" s="2"/>
    </row>
    <row r="556" ht="15.75" customHeight="1">
      <c r="C556" s="2"/>
    </row>
    <row r="557" ht="15.75" customHeight="1">
      <c r="C557" s="2"/>
    </row>
    <row r="558" ht="15.75" customHeight="1">
      <c r="C558" s="2"/>
    </row>
    <row r="559" ht="15.75" customHeight="1">
      <c r="C559" s="2"/>
    </row>
    <row r="560" ht="15.75" customHeight="1">
      <c r="C560" s="2"/>
    </row>
    <row r="561" ht="15.75" customHeight="1">
      <c r="C561" s="2"/>
    </row>
    <row r="562" ht="15.75" customHeight="1">
      <c r="C562" s="2"/>
    </row>
    <row r="563" ht="15.75" customHeight="1">
      <c r="C563" s="2"/>
    </row>
    <row r="564" ht="15.75" customHeight="1">
      <c r="C564" s="2"/>
    </row>
    <row r="565" ht="15.75" customHeight="1">
      <c r="C565" s="2"/>
    </row>
    <row r="566" ht="15.75" customHeight="1">
      <c r="C566" s="2"/>
    </row>
    <row r="567" ht="15.75" customHeight="1">
      <c r="C567" s="2"/>
    </row>
    <row r="568" ht="15.75" customHeight="1">
      <c r="C568" s="2"/>
    </row>
    <row r="569" ht="15.75" customHeight="1">
      <c r="C569" s="2"/>
    </row>
    <row r="570" ht="15.75" customHeight="1">
      <c r="C570" s="2"/>
    </row>
    <row r="571" ht="15.75" customHeight="1">
      <c r="C571" s="2"/>
    </row>
    <row r="572" ht="15.75" customHeight="1">
      <c r="C572" s="2"/>
    </row>
    <row r="573" ht="15.75" customHeight="1">
      <c r="C573" s="2"/>
    </row>
    <row r="574" ht="15.75" customHeight="1">
      <c r="C574" s="2"/>
    </row>
    <row r="575" ht="15.75" customHeight="1">
      <c r="C575" s="2"/>
    </row>
    <row r="576" ht="15.75" customHeight="1">
      <c r="C576" s="2"/>
    </row>
    <row r="577" ht="15.75" customHeight="1">
      <c r="C577" s="2"/>
    </row>
    <row r="578" ht="15.75" customHeight="1">
      <c r="C578" s="2"/>
    </row>
    <row r="579" ht="15.75" customHeight="1">
      <c r="C579" s="2"/>
    </row>
    <row r="580" ht="15.75" customHeight="1">
      <c r="C580" s="2"/>
    </row>
    <row r="581" ht="15.75" customHeight="1">
      <c r="C581" s="2"/>
    </row>
    <row r="582" ht="15.75" customHeight="1">
      <c r="C582" s="2"/>
    </row>
    <row r="583" ht="15.75" customHeight="1">
      <c r="C583" s="2"/>
    </row>
    <row r="584" ht="15.75" customHeight="1">
      <c r="C584" s="2"/>
    </row>
    <row r="585" ht="15.75" customHeight="1">
      <c r="C585" s="2"/>
    </row>
    <row r="586" ht="15.75" customHeight="1">
      <c r="C586" s="2"/>
    </row>
    <row r="587" ht="15.75" customHeight="1">
      <c r="C587" s="2"/>
    </row>
    <row r="588" ht="15.75" customHeight="1">
      <c r="C588" s="2"/>
    </row>
    <row r="589" ht="15.75" customHeight="1">
      <c r="C589" s="2"/>
    </row>
    <row r="590" ht="15.75" customHeight="1">
      <c r="C590" s="2"/>
    </row>
    <row r="591" ht="15.75" customHeight="1">
      <c r="C591" s="2"/>
    </row>
    <row r="592" ht="15.75" customHeight="1">
      <c r="C592" s="2"/>
    </row>
    <row r="593" ht="15.75" customHeight="1">
      <c r="C593" s="2"/>
    </row>
    <row r="594" ht="15.75" customHeight="1">
      <c r="C594" s="2"/>
    </row>
    <row r="595" ht="15.75" customHeight="1">
      <c r="C595" s="2"/>
    </row>
    <row r="596" ht="15.75" customHeight="1">
      <c r="C596" s="2"/>
    </row>
    <row r="597" ht="15.75" customHeight="1">
      <c r="C597" s="2"/>
    </row>
    <row r="598" ht="15.75" customHeight="1">
      <c r="C598" s="2"/>
    </row>
    <row r="599" ht="15.75" customHeight="1">
      <c r="C599" s="2"/>
    </row>
    <row r="600" ht="15.75" customHeight="1">
      <c r="C600" s="2"/>
    </row>
    <row r="601" ht="15.75" customHeight="1">
      <c r="C601" s="2"/>
    </row>
    <row r="602" ht="15.75" customHeight="1">
      <c r="C602" s="2"/>
    </row>
    <row r="603" ht="15.75" customHeight="1">
      <c r="C603" s="2"/>
    </row>
    <row r="604" ht="15.75" customHeight="1">
      <c r="C604" s="2"/>
    </row>
    <row r="605" ht="15.75" customHeight="1">
      <c r="C605" s="2"/>
    </row>
    <row r="606" ht="15.75" customHeight="1">
      <c r="C606" s="2"/>
    </row>
    <row r="607" ht="15.75" customHeight="1">
      <c r="C607" s="2"/>
    </row>
    <row r="608" ht="15.75" customHeight="1">
      <c r="C608" s="2"/>
    </row>
    <row r="609" ht="15.75" customHeight="1">
      <c r="C609" s="2"/>
    </row>
    <row r="610" ht="15.75" customHeight="1">
      <c r="C610" s="2"/>
    </row>
    <row r="611" ht="15.75" customHeight="1">
      <c r="C611" s="2"/>
    </row>
    <row r="612" ht="15.75" customHeight="1">
      <c r="C612" s="2"/>
    </row>
    <row r="613" ht="15.75" customHeight="1">
      <c r="C613" s="2"/>
    </row>
    <row r="614" ht="15.75" customHeight="1">
      <c r="C614" s="2"/>
    </row>
    <row r="615" ht="15.75" customHeight="1">
      <c r="C615" s="2"/>
    </row>
    <row r="616" ht="15.75" customHeight="1">
      <c r="C616" s="2"/>
    </row>
    <row r="617" ht="15.75" customHeight="1">
      <c r="C617" s="2"/>
    </row>
    <row r="618" ht="15.75" customHeight="1">
      <c r="C618" s="2"/>
    </row>
    <row r="619" ht="15.75" customHeight="1">
      <c r="C619" s="2"/>
    </row>
    <row r="620" ht="15.75" customHeight="1">
      <c r="C620" s="2"/>
    </row>
    <row r="621" ht="15.75" customHeight="1">
      <c r="C621" s="2"/>
    </row>
    <row r="622" ht="15.75" customHeight="1">
      <c r="C622" s="2"/>
    </row>
    <row r="623" ht="15.75" customHeight="1">
      <c r="C623" s="2"/>
    </row>
    <row r="624" ht="15.75" customHeight="1">
      <c r="C624" s="2"/>
    </row>
    <row r="625" ht="15.75" customHeight="1">
      <c r="C625" s="2"/>
    </row>
    <row r="626" ht="15.75" customHeight="1">
      <c r="C626" s="2"/>
    </row>
    <row r="627" ht="15.75" customHeight="1">
      <c r="C627" s="2"/>
    </row>
    <row r="628" ht="15.75" customHeight="1">
      <c r="C628" s="2"/>
    </row>
    <row r="629" ht="15.75" customHeight="1">
      <c r="C629" s="2"/>
    </row>
    <row r="630" ht="15.75" customHeight="1">
      <c r="C630" s="2"/>
    </row>
    <row r="631" ht="15.75" customHeight="1">
      <c r="C631" s="2"/>
    </row>
    <row r="632" ht="15.75" customHeight="1">
      <c r="C632" s="2"/>
    </row>
    <row r="633" ht="15.75" customHeight="1">
      <c r="C633" s="2"/>
    </row>
    <row r="634" ht="15.75" customHeight="1">
      <c r="C634" s="2"/>
    </row>
    <row r="635" ht="15.75" customHeight="1">
      <c r="C635" s="2"/>
    </row>
    <row r="636" ht="15.75" customHeight="1">
      <c r="C636" s="2"/>
    </row>
    <row r="637" ht="15.75" customHeight="1">
      <c r="C637" s="2"/>
    </row>
    <row r="638" ht="15.75" customHeight="1">
      <c r="C638" s="2"/>
    </row>
    <row r="639" ht="15.75" customHeight="1">
      <c r="C639" s="2"/>
    </row>
    <row r="640" ht="15.75" customHeight="1">
      <c r="C640" s="2"/>
    </row>
    <row r="641" ht="15.75" customHeight="1">
      <c r="C641" s="2"/>
    </row>
    <row r="642" ht="15.75" customHeight="1">
      <c r="C642" s="2"/>
    </row>
    <row r="643" ht="15.75" customHeight="1">
      <c r="C643" s="2"/>
    </row>
    <row r="644" ht="15.75" customHeight="1">
      <c r="C644" s="2"/>
    </row>
    <row r="645" ht="15.75" customHeight="1">
      <c r="C645" s="2"/>
    </row>
    <row r="646" ht="15.75" customHeight="1">
      <c r="C646" s="2"/>
    </row>
    <row r="647" ht="15.75" customHeight="1">
      <c r="C647" s="2"/>
    </row>
    <row r="648" ht="15.75" customHeight="1">
      <c r="C648" s="2"/>
    </row>
    <row r="649" ht="15.75" customHeight="1">
      <c r="C649" s="2"/>
    </row>
    <row r="650" ht="15.75" customHeight="1">
      <c r="C650" s="2"/>
    </row>
    <row r="651" ht="15.75" customHeight="1">
      <c r="C651" s="2"/>
    </row>
    <row r="652" ht="15.75" customHeight="1">
      <c r="C652" s="2"/>
    </row>
    <row r="653" ht="15.75" customHeight="1">
      <c r="C653" s="2"/>
    </row>
    <row r="654" ht="15.75" customHeight="1">
      <c r="C654" s="2"/>
    </row>
    <row r="655" ht="15.75" customHeight="1">
      <c r="C655" s="2"/>
    </row>
    <row r="656" ht="15.75" customHeight="1">
      <c r="C656" s="2"/>
    </row>
    <row r="657" ht="15.75" customHeight="1">
      <c r="C657" s="2"/>
    </row>
    <row r="658" ht="15.75" customHeight="1">
      <c r="C658" s="2"/>
    </row>
    <row r="659" ht="15.75" customHeight="1">
      <c r="C659" s="2"/>
    </row>
    <row r="660" ht="15.75" customHeight="1">
      <c r="C660" s="2"/>
    </row>
    <row r="661" ht="15.75" customHeight="1">
      <c r="C661" s="2"/>
    </row>
    <row r="662" ht="15.75" customHeight="1">
      <c r="C662" s="2"/>
    </row>
    <row r="663" ht="15.75" customHeight="1">
      <c r="C663" s="2"/>
    </row>
    <row r="664" ht="15.75" customHeight="1">
      <c r="C664" s="2"/>
    </row>
    <row r="665" ht="15.75" customHeight="1">
      <c r="C665" s="2"/>
    </row>
    <row r="666" ht="15.75" customHeight="1">
      <c r="C666" s="2"/>
    </row>
    <row r="667" ht="15.75" customHeight="1">
      <c r="C667" s="2"/>
    </row>
    <row r="668" ht="15.75" customHeight="1">
      <c r="C668" s="2"/>
    </row>
    <row r="669" ht="15.75" customHeight="1">
      <c r="C669" s="2"/>
    </row>
    <row r="670" ht="15.75" customHeight="1">
      <c r="C670" s="2"/>
    </row>
    <row r="671" ht="15.75" customHeight="1">
      <c r="C671" s="2"/>
    </row>
    <row r="672" ht="15.75" customHeight="1">
      <c r="C672" s="2"/>
    </row>
    <row r="673" ht="15.75" customHeight="1">
      <c r="C673" s="2"/>
    </row>
    <row r="674" ht="15.75" customHeight="1">
      <c r="C674" s="2"/>
    </row>
    <row r="675" ht="15.75" customHeight="1">
      <c r="C675" s="2"/>
    </row>
    <row r="676" ht="15.75" customHeight="1">
      <c r="C676" s="2"/>
    </row>
    <row r="677" ht="15.75" customHeight="1">
      <c r="C677" s="2"/>
    </row>
    <row r="678" ht="15.75" customHeight="1">
      <c r="C678" s="2"/>
    </row>
    <row r="679" ht="15.75" customHeight="1">
      <c r="C679" s="2"/>
    </row>
    <row r="680" ht="15.75" customHeight="1">
      <c r="C680" s="2"/>
    </row>
    <row r="681" ht="15.75" customHeight="1">
      <c r="C681" s="2"/>
    </row>
    <row r="682" ht="15.75" customHeight="1">
      <c r="C682" s="2"/>
    </row>
    <row r="683" ht="15.75" customHeight="1">
      <c r="C683" s="2"/>
    </row>
    <row r="684" ht="15.75" customHeight="1">
      <c r="C684" s="2"/>
    </row>
    <row r="685" ht="15.75" customHeight="1">
      <c r="C685" s="2"/>
    </row>
    <row r="686" ht="15.75" customHeight="1">
      <c r="C686" s="2"/>
    </row>
    <row r="687" ht="15.75" customHeight="1">
      <c r="C687" s="2"/>
    </row>
    <row r="688" ht="15.75" customHeight="1">
      <c r="C688" s="2"/>
    </row>
    <row r="689" ht="15.75" customHeight="1">
      <c r="C689" s="2"/>
    </row>
    <row r="690" ht="15.75" customHeight="1">
      <c r="C690" s="2"/>
    </row>
    <row r="691" ht="15.75" customHeight="1">
      <c r="C691" s="2"/>
    </row>
    <row r="692" ht="15.75" customHeight="1">
      <c r="C692" s="2"/>
    </row>
    <row r="693" ht="15.75" customHeight="1">
      <c r="C693" s="2"/>
    </row>
    <row r="694" ht="15.75" customHeight="1">
      <c r="C694" s="2"/>
    </row>
    <row r="695" ht="15.75" customHeight="1">
      <c r="C695" s="2"/>
    </row>
    <row r="696" ht="15.75" customHeight="1">
      <c r="C696" s="2"/>
    </row>
    <row r="697" ht="15.75" customHeight="1">
      <c r="C697" s="2"/>
    </row>
    <row r="698" ht="15.75" customHeight="1">
      <c r="C698" s="2"/>
    </row>
    <row r="699" ht="15.75" customHeight="1">
      <c r="C699" s="2"/>
    </row>
    <row r="700" ht="15.75" customHeight="1">
      <c r="C700" s="2"/>
    </row>
    <row r="701" ht="15.75" customHeight="1">
      <c r="C701" s="2"/>
    </row>
    <row r="702" ht="15.75" customHeight="1">
      <c r="C702" s="2"/>
    </row>
    <row r="703" ht="15.75" customHeight="1">
      <c r="C703" s="2"/>
    </row>
    <row r="704" ht="15.75" customHeight="1">
      <c r="C704" s="2"/>
    </row>
    <row r="705" ht="15.75" customHeight="1">
      <c r="C705" s="2"/>
    </row>
    <row r="706" ht="15.75" customHeight="1">
      <c r="C706" s="2"/>
    </row>
    <row r="707" ht="15.75" customHeight="1">
      <c r="C707" s="2"/>
    </row>
    <row r="708" ht="15.75" customHeight="1">
      <c r="C708" s="2"/>
    </row>
    <row r="709" ht="15.75" customHeight="1">
      <c r="C709" s="2"/>
    </row>
    <row r="710" ht="15.75" customHeight="1">
      <c r="C710" s="2"/>
    </row>
    <row r="711" ht="15.75" customHeight="1">
      <c r="C711" s="2"/>
    </row>
    <row r="712" ht="15.75" customHeight="1">
      <c r="C712" s="2"/>
    </row>
    <row r="713" ht="15.75" customHeight="1">
      <c r="C713" s="2"/>
    </row>
    <row r="714" ht="15.75" customHeight="1">
      <c r="C714" s="2"/>
    </row>
    <row r="715" ht="15.75" customHeight="1">
      <c r="C715" s="2"/>
    </row>
    <row r="716" ht="15.75" customHeight="1">
      <c r="C716" s="2"/>
    </row>
    <row r="717" ht="15.75" customHeight="1">
      <c r="C717" s="2"/>
    </row>
    <row r="718" ht="15.75" customHeight="1">
      <c r="C718" s="2"/>
    </row>
    <row r="719" ht="15.75" customHeight="1">
      <c r="C719" s="2"/>
    </row>
    <row r="720" ht="15.75" customHeight="1">
      <c r="C720" s="2"/>
    </row>
    <row r="721" ht="15.75" customHeight="1">
      <c r="C721" s="2"/>
    </row>
    <row r="722" ht="15.75" customHeight="1">
      <c r="C722" s="2"/>
    </row>
    <row r="723" ht="15.75" customHeight="1">
      <c r="C723" s="2"/>
    </row>
    <row r="724" ht="15.75" customHeight="1">
      <c r="C724" s="2"/>
    </row>
    <row r="725" ht="15.75" customHeight="1">
      <c r="C725" s="2"/>
    </row>
    <row r="726" ht="15.75" customHeight="1">
      <c r="C726" s="2"/>
    </row>
    <row r="727" ht="15.75" customHeight="1">
      <c r="C727" s="2"/>
    </row>
    <row r="728" ht="15.75" customHeight="1">
      <c r="C728" s="2"/>
    </row>
    <row r="729" ht="15.75" customHeight="1">
      <c r="C729" s="2"/>
    </row>
    <row r="730" ht="15.75" customHeight="1">
      <c r="C730" s="2"/>
    </row>
    <row r="731" ht="15.75" customHeight="1">
      <c r="C731" s="2"/>
    </row>
    <row r="732" ht="15.75" customHeight="1">
      <c r="C732" s="2"/>
    </row>
    <row r="733" ht="15.75" customHeight="1">
      <c r="C733" s="2"/>
    </row>
    <row r="734" ht="15.75" customHeight="1">
      <c r="C734" s="2"/>
    </row>
    <row r="735" ht="15.75" customHeight="1">
      <c r="C735" s="2"/>
    </row>
    <row r="736" ht="15.75" customHeight="1">
      <c r="C736" s="2"/>
    </row>
    <row r="737" ht="15.75" customHeight="1">
      <c r="C737" s="2"/>
    </row>
    <row r="738" ht="15.75" customHeight="1">
      <c r="C738" s="2"/>
    </row>
    <row r="739" ht="15.75" customHeight="1">
      <c r="C739" s="2"/>
    </row>
    <row r="740" ht="15.75" customHeight="1">
      <c r="C740" s="2"/>
    </row>
    <row r="741" ht="15.75" customHeight="1">
      <c r="C741" s="2"/>
    </row>
    <row r="742" ht="15.75" customHeight="1">
      <c r="C742" s="2"/>
    </row>
    <row r="743" ht="15.75" customHeight="1">
      <c r="C743" s="2"/>
    </row>
    <row r="744" ht="15.75" customHeight="1">
      <c r="C744" s="2"/>
    </row>
    <row r="745" ht="15.75" customHeight="1">
      <c r="C745" s="2"/>
    </row>
    <row r="746" ht="15.75" customHeight="1">
      <c r="C746" s="2"/>
    </row>
    <row r="747" ht="15.75" customHeight="1">
      <c r="C747" s="2"/>
    </row>
    <row r="748" ht="15.75" customHeight="1">
      <c r="C748" s="2"/>
    </row>
    <row r="749" ht="15.75" customHeight="1">
      <c r="C749" s="2"/>
    </row>
    <row r="750" ht="15.75" customHeight="1">
      <c r="C750" s="2"/>
    </row>
    <row r="751" ht="15.75" customHeight="1">
      <c r="C751" s="2"/>
    </row>
    <row r="752" ht="15.75" customHeight="1">
      <c r="C752" s="2"/>
    </row>
    <row r="753" ht="15.75" customHeight="1">
      <c r="C753" s="2"/>
    </row>
    <row r="754" ht="15.75" customHeight="1">
      <c r="C754" s="2"/>
    </row>
    <row r="755" ht="15.75" customHeight="1">
      <c r="C755" s="2"/>
    </row>
    <row r="756" ht="15.75" customHeight="1">
      <c r="C756" s="2"/>
    </row>
    <row r="757" ht="15.75" customHeight="1">
      <c r="C757" s="2"/>
    </row>
    <row r="758" ht="15.75" customHeight="1">
      <c r="C758" s="2"/>
    </row>
    <row r="759" ht="15.75" customHeight="1">
      <c r="C759" s="2"/>
    </row>
    <row r="760" ht="15.75" customHeight="1">
      <c r="C760" s="2"/>
    </row>
    <row r="761" ht="15.75" customHeight="1">
      <c r="C761" s="2"/>
    </row>
    <row r="762" ht="15.75" customHeight="1">
      <c r="C762" s="2"/>
    </row>
    <row r="763" ht="15.75" customHeight="1">
      <c r="C763" s="2"/>
    </row>
    <row r="764" ht="15.75" customHeight="1">
      <c r="C764" s="2"/>
    </row>
    <row r="765" ht="15.75" customHeight="1">
      <c r="C765" s="2"/>
    </row>
    <row r="766" ht="15.75" customHeight="1">
      <c r="C766" s="2"/>
    </row>
    <row r="767" ht="15.75" customHeight="1">
      <c r="C767" s="2"/>
    </row>
    <row r="768" ht="15.75" customHeight="1">
      <c r="C768" s="2"/>
    </row>
    <row r="769" ht="15.75" customHeight="1">
      <c r="C769" s="2"/>
    </row>
    <row r="770" ht="15.75" customHeight="1">
      <c r="C770" s="2"/>
    </row>
    <row r="771" ht="15.75" customHeight="1">
      <c r="C771" s="2"/>
    </row>
    <row r="772" ht="15.75" customHeight="1">
      <c r="C772" s="2"/>
    </row>
    <row r="773" ht="15.75" customHeight="1">
      <c r="C773" s="2"/>
    </row>
    <row r="774" ht="15.75" customHeight="1">
      <c r="C774" s="2"/>
    </row>
    <row r="775" ht="15.75" customHeight="1">
      <c r="C775" s="2"/>
    </row>
    <row r="776" ht="15.75" customHeight="1">
      <c r="C776" s="2"/>
    </row>
    <row r="777" ht="15.75" customHeight="1">
      <c r="C777" s="2"/>
    </row>
    <row r="778" ht="15.75" customHeight="1">
      <c r="C778" s="2"/>
    </row>
    <row r="779" ht="15.75" customHeight="1">
      <c r="C779" s="2"/>
    </row>
    <row r="780" ht="15.75" customHeight="1">
      <c r="C780" s="2"/>
    </row>
    <row r="781" ht="15.75" customHeight="1">
      <c r="C781" s="2"/>
    </row>
    <row r="782" ht="15.75" customHeight="1">
      <c r="C782" s="2"/>
    </row>
    <row r="783" ht="15.75" customHeight="1">
      <c r="C783" s="2"/>
    </row>
    <row r="784" ht="15.75" customHeight="1">
      <c r="C784" s="2"/>
    </row>
    <row r="785" ht="15.75" customHeight="1">
      <c r="C785" s="2"/>
    </row>
    <row r="786" ht="15.75" customHeight="1">
      <c r="C786" s="2"/>
    </row>
    <row r="787" ht="15.75" customHeight="1">
      <c r="C787" s="2"/>
    </row>
    <row r="788" ht="15.75" customHeight="1">
      <c r="C788" s="2"/>
    </row>
    <row r="789" ht="15.75" customHeight="1">
      <c r="C789" s="2"/>
    </row>
    <row r="790" ht="15.75" customHeight="1">
      <c r="C790" s="2"/>
    </row>
    <row r="791" ht="15.75" customHeight="1">
      <c r="C791" s="2"/>
    </row>
    <row r="792" ht="15.75" customHeight="1">
      <c r="C792" s="2"/>
    </row>
    <row r="793" ht="15.75" customHeight="1">
      <c r="C793" s="2"/>
    </row>
    <row r="794" ht="15.75" customHeight="1">
      <c r="C794" s="2"/>
    </row>
    <row r="795" ht="15.75" customHeight="1">
      <c r="C795" s="2"/>
    </row>
    <row r="796" ht="15.75" customHeight="1">
      <c r="C796" s="2"/>
    </row>
    <row r="797" ht="15.75" customHeight="1">
      <c r="C797" s="2"/>
    </row>
    <row r="798" ht="15.75" customHeight="1">
      <c r="C798" s="2"/>
    </row>
    <row r="799" ht="15.75" customHeight="1">
      <c r="C799" s="2"/>
    </row>
    <row r="800" ht="15.75" customHeight="1">
      <c r="C800" s="2"/>
    </row>
    <row r="801" ht="15.75" customHeight="1">
      <c r="C801" s="2"/>
    </row>
    <row r="802" ht="15.75" customHeight="1">
      <c r="C802" s="2"/>
    </row>
    <row r="803" ht="15.75" customHeight="1">
      <c r="C803" s="2"/>
    </row>
    <row r="804" ht="15.75" customHeight="1">
      <c r="C804" s="2"/>
    </row>
    <row r="805" ht="15.75" customHeight="1">
      <c r="C805" s="2"/>
    </row>
    <row r="806" ht="15.75" customHeight="1">
      <c r="C806" s="2"/>
    </row>
    <row r="807" ht="15.75" customHeight="1">
      <c r="C807" s="2"/>
    </row>
    <row r="808" ht="15.75" customHeight="1">
      <c r="C808" s="2"/>
    </row>
    <row r="809" ht="15.75" customHeight="1">
      <c r="C809" s="2"/>
    </row>
    <row r="810" ht="15.75" customHeight="1">
      <c r="C810" s="2"/>
    </row>
    <row r="811" ht="15.75" customHeight="1">
      <c r="C811" s="2"/>
    </row>
    <row r="812" ht="15.75" customHeight="1">
      <c r="C812" s="2"/>
    </row>
    <row r="813" ht="15.75" customHeight="1">
      <c r="C813" s="2"/>
    </row>
    <row r="814" ht="15.75" customHeight="1">
      <c r="C814" s="2"/>
    </row>
    <row r="815" ht="15.75" customHeight="1">
      <c r="C815" s="2"/>
    </row>
    <row r="816" ht="15.75" customHeight="1">
      <c r="C816" s="2"/>
    </row>
    <row r="817" ht="15.75" customHeight="1">
      <c r="C817" s="2"/>
    </row>
    <row r="818" ht="15.75" customHeight="1">
      <c r="C818" s="2"/>
    </row>
    <row r="819" ht="15.75" customHeight="1">
      <c r="C819" s="2"/>
    </row>
    <row r="820" ht="15.75" customHeight="1">
      <c r="C820" s="2"/>
    </row>
    <row r="821" ht="15.75" customHeight="1">
      <c r="C821" s="2"/>
    </row>
    <row r="822" ht="15.75" customHeight="1">
      <c r="C822" s="2"/>
    </row>
    <row r="823" ht="15.75" customHeight="1">
      <c r="C823" s="2"/>
    </row>
    <row r="824" ht="15.75" customHeight="1">
      <c r="C824" s="2"/>
    </row>
    <row r="825" ht="15.75" customHeight="1">
      <c r="C825" s="2"/>
    </row>
    <row r="826" ht="15.75" customHeight="1">
      <c r="C826" s="2"/>
    </row>
    <row r="827" ht="15.75" customHeight="1">
      <c r="C827" s="2"/>
    </row>
    <row r="828" ht="15.75" customHeight="1">
      <c r="C828" s="2"/>
    </row>
    <row r="829" ht="15.75" customHeight="1">
      <c r="C829" s="2"/>
    </row>
    <row r="830" ht="15.75" customHeight="1">
      <c r="C830" s="2"/>
    </row>
    <row r="831" ht="15.75" customHeight="1">
      <c r="C831" s="2"/>
    </row>
    <row r="832" ht="15.75" customHeight="1">
      <c r="C832" s="2"/>
    </row>
    <row r="833" ht="15.75" customHeight="1">
      <c r="C833" s="2"/>
    </row>
    <row r="834" ht="15.75" customHeight="1">
      <c r="C834" s="2"/>
    </row>
    <row r="835" ht="15.75" customHeight="1">
      <c r="C835" s="2"/>
    </row>
    <row r="836" ht="15.75" customHeight="1">
      <c r="C836" s="2"/>
    </row>
    <row r="837" ht="15.75" customHeight="1">
      <c r="C837" s="2"/>
    </row>
    <row r="838" ht="15.75" customHeight="1">
      <c r="C838" s="2"/>
    </row>
    <row r="839" ht="15.75" customHeight="1">
      <c r="C839" s="2"/>
    </row>
    <row r="840" ht="15.75" customHeight="1">
      <c r="C840" s="2"/>
    </row>
    <row r="841" ht="15.75" customHeight="1">
      <c r="C841" s="2"/>
    </row>
    <row r="842" ht="15.75" customHeight="1">
      <c r="C842" s="2"/>
    </row>
    <row r="843" ht="15.75" customHeight="1">
      <c r="C843" s="2"/>
    </row>
    <row r="844" ht="15.75" customHeight="1">
      <c r="C844" s="2"/>
    </row>
    <row r="845" ht="15.75" customHeight="1">
      <c r="C845" s="2"/>
    </row>
    <row r="846" ht="15.75" customHeight="1">
      <c r="C846" s="2"/>
    </row>
    <row r="847" ht="15.75" customHeight="1">
      <c r="C847" s="2"/>
    </row>
    <row r="848" ht="15.75" customHeight="1">
      <c r="C848" s="2"/>
    </row>
    <row r="849" ht="15.75" customHeight="1">
      <c r="C849" s="2"/>
    </row>
    <row r="850" ht="15.75" customHeight="1">
      <c r="C850" s="2"/>
    </row>
    <row r="851" ht="15.75" customHeight="1">
      <c r="C851" s="2"/>
    </row>
    <row r="852" ht="15.75" customHeight="1">
      <c r="C852" s="2"/>
    </row>
    <row r="853" ht="15.75" customHeight="1">
      <c r="C853" s="2"/>
    </row>
    <row r="854" ht="15.75" customHeight="1">
      <c r="C854" s="2"/>
    </row>
    <row r="855" ht="15.75" customHeight="1">
      <c r="C855" s="2"/>
    </row>
    <row r="856" ht="15.75" customHeight="1">
      <c r="C856" s="2"/>
    </row>
    <row r="857" ht="15.75" customHeight="1">
      <c r="C857" s="2"/>
    </row>
    <row r="858" ht="15.75" customHeight="1">
      <c r="C858" s="2"/>
    </row>
    <row r="859" ht="15.75" customHeight="1">
      <c r="C859" s="2"/>
    </row>
    <row r="860" ht="15.75" customHeight="1">
      <c r="C860" s="2"/>
    </row>
    <row r="861" ht="15.75" customHeight="1">
      <c r="C861" s="2"/>
    </row>
    <row r="862" ht="15.75" customHeight="1">
      <c r="C862" s="2"/>
    </row>
    <row r="863" ht="15.75" customHeight="1">
      <c r="C863" s="2"/>
    </row>
    <row r="864" ht="15.75" customHeight="1">
      <c r="C864" s="2"/>
    </row>
    <row r="865" ht="15.75" customHeight="1">
      <c r="C865" s="2"/>
    </row>
    <row r="866" ht="15.75" customHeight="1">
      <c r="C866" s="2"/>
    </row>
    <row r="867" ht="15.75" customHeight="1">
      <c r="C867" s="2"/>
    </row>
    <row r="868" ht="15.75" customHeight="1">
      <c r="C868" s="2"/>
    </row>
    <row r="869" ht="15.75" customHeight="1">
      <c r="C869" s="2"/>
    </row>
    <row r="870" ht="15.75" customHeight="1">
      <c r="C870" s="2"/>
    </row>
    <row r="871" ht="15.75" customHeight="1">
      <c r="C871" s="2"/>
    </row>
    <row r="872" ht="15.75" customHeight="1">
      <c r="C872" s="2"/>
    </row>
    <row r="873" ht="15.75" customHeight="1">
      <c r="C873" s="2"/>
    </row>
    <row r="874" ht="15.75" customHeight="1">
      <c r="C874" s="2"/>
    </row>
    <row r="875" ht="15.75" customHeight="1">
      <c r="C875" s="2"/>
    </row>
    <row r="876" ht="15.75" customHeight="1">
      <c r="C876" s="2"/>
    </row>
    <row r="877" ht="15.75" customHeight="1">
      <c r="C877" s="2"/>
    </row>
    <row r="878" ht="15.75" customHeight="1">
      <c r="C878" s="2"/>
    </row>
    <row r="879" ht="15.75" customHeight="1">
      <c r="C879" s="2"/>
    </row>
    <row r="880" ht="15.75" customHeight="1">
      <c r="C880" s="2"/>
    </row>
    <row r="881" ht="15.75" customHeight="1">
      <c r="C881" s="2"/>
    </row>
    <row r="882" ht="15.75" customHeight="1">
      <c r="C882" s="2"/>
    </row>
    <row r="883" ht="15.75" customHeight="1">
      <c r="C883" s="2"/>
    </row>
    <row r="884" ht="15.75" customHeight="1">
      <c r="C884" s="2"/>
    </row>
    <row r="885" ht="15.75" customHeight="1">
      <c r="C885" s="2"/>
    </row>
    <row r="886" ht="15.75" customHeight="1">
      <c r="C886" s="2"/>
    </row>
    <row r="887" ht="15.75" customHeight="1">
      <c r="C887" s="2"/>
    </row>
    <row r="888" ht="15.75" customHeight="1">
      <c r="C888" s="2"/>
    </row>
    <row r="889" ht="15.75" customHeight="1">
      <c r="C889" s="2"/>
    </row>
    <row r="890" ht="15.75" customHeight="1">
      <c r="C890" s="2"/>
    </row>
    <row r="891" ht="15.75" customHeight="1">
      <c r="C891" s="2"/>
    </row>
    <row r="892" ht="15.75" customHeight="1">
      <c r="C892" s="2"/>
    </row>
    <row r="893" ht="15.75" customHeight="1">
      <c r="C893" s="2"/>
    </row>
    <row r="894" ht="15.75" customHeight="1">
      <c r="C894" s="2"/>
    </row>
    <row r="895" ht="15.75" customHeight="1">
      <c r="C895" s="2"/>
    </row>
    <row r="896" ht="15.75" customHeight="1">
      <c r="C896" s="2"/>
    </row>
    <row r="897" ht="15.75" customHeight="1">
      <c r="C897" s="2"/>
    </row>
    <row r="898" ht="15.75" customHeight="1">
      <c r="C898" s="2"/>
    </row>
    <row r="899" ht="15.75" customHeight="1">
      <c r="C899" s="2"/>
    </row>
    <row r="900" ht="15.75" customHeight="1">
      <c r="C900" s="2"/>
    </row>
    <row r="901" ht="15.75" customHeight="1">
      <c r="C901" s="2"/>
    </row>
    <row r="902" ht="15.75" customHeight="1">
      <c r="C902" s="2"/>
    </row>
    <row r="903" ht="15.75" customHeight="1">
      <c r="C903" s="2"/>
    </row>
    <row r="904" ht="15.75" customHeight="1">
      <c r="C904" s="2"/>
    </row>
    <row r="905" ht="15.75" customHeight="1">
      <c r="C905" s="2"/>
    </row>
    <row r="906" ht="15.75" customHeight="1">
      <c r="C906" s="2"/>
    </row>
    <row r="907" ht="15.75" customHeight="1">
      <c r="C907" s="2"/>
    </row>
    <row r="908" ht="15.75" customHeight="1">
      <c r="C908" s="2"/>
    </row>
    <row r="909" ht="15.75" customHeight="1">
      <c r="C909" s="2"/>
    </row>
    <row r="910" ht="15.75" customHeight="1">
      <c r="C910" s="2"/>
    </row>
    <row r="911" ht="15.75" customHeight="1">
      <c r="C911" s="2"/>
    </row>
    <row r="912" ht="15.75" customHeight="1">
      <c r="C912" s="2"/>
    </row>
    <row r="913" ht="15.75" customHeight="1">
      <c r="C913" s="2"/>
    </row>
    <row r="914" ht="15.75" customHeight="1">
      <c r="C914" s="2"/>
    </row>
    <row r="915" ht="15.75" customHeight="1">
      <c r="C915" s="2"/>
    </row>
    <row r="916" ht="15.75" customHeight="1">
      <c r="C916" s="2"/>
    </row>
    <row r="917" ht="15.75" customHeight="1">
      <c r="C917" s="2"/>
    </row>
    <row r="918" ht="15.75" customHeight="1">
      <c r="C918" s="2"/>
    </row>
    <row r="919" ht="15.75" customHeight="1">
      <c r="C919" s="2"/>
    </row>
    <row r="920" ht="15.75" customHeight="1">
      <c r="C920" s="2"/>
    </row>
    <row r="921" ht="15.75" customHeight="1">
      <c r="C921" s="2"/>
    </row>
    <row r="922" ht="15.75" customHeight="1">
      <c r="C922" s="2"/>
    </row>
    <row r="923" ht="15.75" customHeight="1">
      <c r="C923" s="2"/>
    </row>
    <row r="924" ht="15.75" customHeight="1">
      <c r="C924" s="2"/>
    </row>
    <row r="925" ht="15.75" customHeight="1">
      <c r="C925" s="2"/>
    </row>
    <row r="926" ht="15.75" customHeight="1">
      <c r="C926" s="2"/>
    </row>
    <row r="927" ht="15.75" customHeight="1">
      <c r="C927" s="2"/>
    </row>
    <row r="928" ht="15.75" customHeight="1">
      <c r="C928" s="2"/>
    </row>
    <row r="929" ht="15.75" customHeight="1">
      <c r="C929" s="2"/>
    </row>
    <row r="930" ht="15.75" customHeight="1">
      <c r="C930" s="2"/>
    </row>
    <row r="931" ht="15.75" customHeight="1">
      <c r="C931" s="2"/>
    </row>
    <row r="932" ht="15.75" customHeight="1">
      <c r="C932" s="2"/>
    </row>
    <row r="933" ht="15.75" customHeight="1">
      <c r="C933" s="2"/>
    </row>
    <row r="934" ht="15.75" customHeight="1">
      <c r="C934" s="2"/>
    </row>
    <row r="935" ht="15.75" customHeight="1">
      <c r="C935" s="2"/>
    </row>
    <row r="936" ht="15.75" customHeight="1">
      <c r="C936" s="2"/>
    </row>
    <row r="937" ht="15.75" customHeight="1">
      <c r="C937" s="2"/>
    </row>
    <row r="938" ht="15.75" customHeight="1">
      <c r="C938" s="2"/>
    </row>
    <row r="939" ht="15.75" customHeight="1">
      <c r="C939" s="2"/>
    </row>
    <row r="940" ht="15.75" customHeight="1">
      <c r="C940" s="2"/>
    </row>
    <row r="941" ht="15.75" customHeight="1">
      <c r="C941" s="2"/>
    </row>
    <row r="942" ht="15.75" customHeight="1">
      <c r="C942" s="2"/>
    </row>
    <row r="943" ht="15.75" customHeight="1">
      <c r="C943" s="2"/>
    </row>
    <row r="944" ht="15.75" customHeight="1">
      <c r="C944" s="2"/>
    </row>
    <row r="945" ht="15.75" customHeight="1">
      <c r="C945" s="2"/>
    </row>
    <row r="946" ht="15.75" customHeight="1">
      <c r="C946" s="2"/>
    </row>
    <row r="947" ht="15.75" customHeight="1">
      <c r="C947" s="2"/>
    </row>
    <row r="948" ht="15.75" customHeight="1">
      <c r="C948" s="2"/>
    </row>
    <row r="949" ht="15.75" customHeight="1">
      <c r="C949" s="2"/>
    </row>
    <row r="950" ht="15.75" customHeight="1">
      <c r="C950" s="2"/>
    </row>
    <row r="951" ht="15.75" customHeight="1">
      <c r="C951" s="2"/>
    </row>
    <row r="952" ht="15.75" customHeight="1">
      <c r="C952" s="2"/>
    </row>
    <row r="953" ht="15.75" customHeight="1">
      <c r="C953" s="2"/>
    </row>
    <row r="954" ht="15.75" customHeight="1">
      <c r="C954" s="2"/>
    </row>
    <row r="955" ht="15.75" customHeight="1">
      <c r="C955" s="2"/>
    </row>
    <row r="956" ht="15.75" customHeight="1">
      <c r="C956" s="2"/>
    </row>
    <row r="957" ht="15.75" customHeight="1">
      <c r="C957" s="2"/>
    </row>
    <row r="958" ht="15.75" customHeight="1">
      <c r="C958" s="2"/>
    </row>
    <row r="959" ht="15.75" customHeight="1">
      <c r="C959" s="2"/>
    </row>
    <row r="960" ht="15.75" customHeight="1">
      <c r="C960" s="2"/>
    </row>
    <row r="961" ht="15.75" customHeight="1">
      <c r="C961" s="2"/>
    </row>
    <row r="962" ht="15.75" customHeight="1">
      <c r="C962" s="2"/>
    </row>
    <row r="963" ht="15.75" customHeight="1">
      <c r="C963" s="2"/>
    </row>
    <row r="964" ht="15.75" customHeight="1">
      <c r="C964" s="2"/>
    </row>
    <row r="965" ht="15.75" customHeight="1">
      <c r="C965" s="2"/>
    </row>
    <row r="966" ht="15.75" customHeight="1">
      <c r="C966" s="2"/>
    </row>
    <row r="967" ht="15.75" customHeight="1">
      <c r="C967" s="2"/>
    </row>
    <row r="968" ht="15.75" customHeight="1">
      <c r="C968" s="2"/>
    </row>
    <row r="969" ht="15.75" customHeight="1">
      <c r="C969" s="2"/>
    </row>
    <row r="970" ht="15.75" customHeight="1">
      <c r="C970" s="2"/>
    </row>
    <row r="971" ht="15.75" customHeight="1">
      <c r="C971" s="2"/>
    </row>
    <row r="972" ht="15.75" customHeight="1">
      <c r="C972" s="2"/>
    </row>
    <row r="973" ht="15.75" customHeight="1">
      <c r="C973" s="2"/>
    </row>
    <row r="974" ht="15.75" customHeight="1">
      <c r="C974" s="2"/>
    </row>
    <row r="975" ht="15.75" customHeight="1">
      <c r="C975" s="2"/>
    </row>
    <row r="976" ht="15.75" customHeight="1">
      <c r="C976" s="2"/>
    </row>
    <row r="977" ht="15.75" customHeight="1">
      <c r="C977" s="2"/>
    </row>
    <row r="978" ht="15.75" customHeight="1">
      <c r="C978" s="2"/>
    </row>
    <row r="979" ht="15.75" customHeight="1">
      <c r="C979" s="2"/>
    </row>
    <row r="980" ht="15.75" customHeight="1">
      <c r="C980" s="2"/>
    </row>
    <row r="981" ht="15.75" customHeight="1">
      <c r="C981" s="2"/>
    </row>
    <row r="982" ht="15.75" customHeight="1">
      <c r="C982" s="2"/>
    </row>
    <row r="983" ht="15.75" customHeight="1">
      <c r="C983" s="2"/>
    </row>
    <row r="984" ht="15.75" customHeight="1">
      <c r="C984" s="2"/>
    </row>
    <row r="985" ht="15.75" customHeight="1">
      <c r="C985" s="2"/>
    </row>
    <row r="986" ht="15.75" customHeight="1">
      <c r="C986" s="2"/>
    </row>
    <row r="987" ht="15.75" customHeight="1">
      <c r="C987" s="2"/>
    </row>
    <row r="988" ht="15.75" customHeight="1">
      <c r="C988" s="2"/>
    </row>
    <row r="989" ht="15.75" customHeight="1">
      <c r="C989" s="2"/>
    </row>
    <row r="990" ht="15.75" customHeight="1">
      <c r="C990" s="2"/>
    </row>
    <row r="991" ht="15.75" customHeight="1">
      <c r="C991" s="2"/>
    </row>
    <row r="992" ht="15.75" customHeight="1">
      <c r="C992" s="2"/>
    </row>
    <row r="993" ht="15.75" customHeight="1">
      <c r="C993" s="2"/>
    </row>
    <row r="994" ht="15.75" customHeight="1">
      <c r="C994" s="2"/>
    </row>
    <row r="995" ht="15.75" customHeight="1">
      <c r="C995" s="2"/>
    </row>
    <row r="996" ht="15.75" customHeight="1">
      <c r="C996" s="2"/>
    </row>
    <row r="997" ht="15.75" customHeight="1">
      <c r="C997" s="2"/>
    </row>
    <row r="998" ht="15.75" customHeight="1">
      <c r="C998" s="2"/>
    </row>
    <row r="999" ht="15.75" customHeight="1">
      <c r="C999" s="2"/>
    </row>
    <row r="1000" ht="15.75" customHeight="1">
      <c r="C1000" s="2"/>
    </row>
  </sheetData>
  <autoFilter ref="$A$4:$D$71"/>
  <hyperlinks>
    <hyperlink display="Estimated Number of Households" location="'Estimated Totals'!A1" ref="D5"/>
    <hyperlink display="Estimated Number of Individuals" location="'Estimated Totals'!A1" ref="D6"/>
    <hyperlink display="Estimated Number of Individuals by Sex and Region" location="'Estimated Individuals by Sex'!A1" ref="D7"/>
    <hyperlink display="Households with Access to Communal or Shared Cellphone by any Household Member at Any Time" location="'c27'!A1" ref="D8"/>
    <hyperlink display="Households with Cellphone That Can be Used by Any Household Member at Any Time by Type of Cellphone" location="'c28_a and b'!A1" ref="D9"/>
    <hyperlink display="Individuals Who Used Cellphone" location="i_C6!A1" ref="D10"/>
    <hyperlink display="Individuals Who Own Cellphone" location="i_C8!A1" ref="D11"/>
    <hyperlink display="Cellphone Owners by Type of Cellphone" location="i_C8!A1" ref="D12"/>
    <hyperlink display="Cellphone Owners by Type of SIM Used" location="'i_C8&amp;11'!A1" ref="D13"/>
    <hyperlink display="Individuals with ICT Device and Active SIM by Details Used in SIM Registration" location="i_C12!A1" ref="D14"/>
    <hyperlink display="Individuals with ICT Device and Active SIM Who Did Not Use Own Information in SIM Registration by Main Reason" location="i_C13!A1" ref="D15"/>
    <hyperlink display="Individuals with ICT Device, Active SIM and Registered SIM by Main Difficulty Encountered" location="i_C14!A1" ref="D16"/>
    <hyperlink display="Individual Average Monthly Spending on Load or Subscription" location="i_C15!A1" ref="D17"/>
    <hyperlink display="Households with Computer That Can be Used by Any Household Member at Any Time" location="'c29'!A1" ref="D18"/>
    <hyperlink display="Households with Computer That Can be Used by Any Household Member at Any Time by Type" location="'c30_a to d'!A1" ref="D19"/>
    <hyperlink display="Households Accessing a Computer By Alternative Access Method" location="'c29_C31_a to C31_g'!A1" ref="D20"/>
    <hyperlink display="Individuals Using a Computer" location="'i_C17-18'!A1" ref="D21"/>
    <hyperlink display="Computer Users by Type" location="'i_C17-18'!A1" ref="D22"/>
    <hyperlink display="Individuals Using Computer by Activity" location="'i_C17&amp;20'!A1" ref="D23"/>
    <hyperlink display="Households With/Have Access to the Internet" location="'c32'!A1" ref="D24"/>
    <hyperlink display="Households with Internet by Usage of Internet" location="'C34_a to C34_f'!A1" ref="D25"/>
    <hyperlink display="Households Average Monthly Spending on Internet" location="'C35'!A1" ref="D26"/>
    <hyperlink display="Individuals Using the Internet" location="'i_C21&amp;23'!A1" ref="D27"/>
    <hyperlink display="Individuals Using the Internet by Type of Device Used" location="'i_C21&amp;23'!A1" ref="D28"/>
    <hyperlink display="Individuals Using the Internet by Access Location" location="'i_C21&amp;24'!A1" ref="D29"/>
    <hyperlink display="Individuals Using the Internet by Frequency" location="'i_C21&amp;25'!A1" ref="D30"/>
    <hyperlink display="Top 5 Purposes for Using the Internet by Individuals" location="'i_C21&amp;27'!A1" ref="D31"/>
    <hyperlink display="Top 5 Barriers for Not Having Internet Connection at Home in 2024" location="'C36_a TO C36_m'!A1" ref="D32"/>
    <hyperlink display="Top 5 Barriers to Internet Access in 2024 by Individuals" location="'i_C21-22'!A1" ref="D33"/>
    <hyperlink display="Households Access to Television" location="'C23'!A1" ref="D34"/>
    <hyperlink display="Households Access to Television by Type" location="'C25'!A1" ref="D35"/>
    <hyperlink display="individuals Who Have Online Bank Account" location="'i_E2-5'!A1" ref="D36"/>
    <hyperlink display="Individuals with an ICT Device and an Active SIM Who Have Electronic/Mobile Money Account" location="'i_E2-5'!A1" ref="D37"/>
    <hyperlink display="Individuals Who Have Electronic/Mobile Money Account" location="i_E3!A1" ref="D38"/>
    <hyperlink display="Individuals Who are Engaged in Online Activities to Earn Money by Type of Activity" location="'i_C21&amp;E6f&amp;E10'!A1" ref="D39"/>
    <hyperlink display="Individuals Who have an Online Buying or Online Selling Accounts" location="'i_E2-5'!A1" ref="D40"/>
    <hyperlink display="Individuals Who are Internet Users and Selling Goods Online to Earn Money" location="'i_C21&amp;E6f&amp;E10'!A1" ref="D41"/>
    <hyperlink display="Individuals Who Are Selling Goods Online by Type of Goods Sold" location="'i_E10-12'!A1" ref="D42"/>
    <hyperlink display="Individuals Who Are Selling Goods Online by Type of Online Site or Mobile Application Used" location="'i_E10a&amp;13'!A1" ref="D43"/>
    <hyperlink display="Individuals Who Are Selling Goods Online by Mode of Payment Being Accepted" location="'i_E10a&amp;14'!A1" ref="D44"/>
    <hyperlink display="Internet Users Who are Purchasing Goods and/or Services Online" location="'iC21&amp;E23&amp;26'!A1" ref="D45"/>
    <hyperlink display="Top 5 Types of Goods/Services Purchased Online in 2024" location="'iC21&amp;E23&amp;26'!A1" ref="D46"/>
    <hyperlink display="Individuals Who Purchase Goods/Services Online by Online Site or Mobile Application Used" location="'i_E23&amp;30'!A1" ref="D47"/>
    <hyperlink display="Individuals Who Purchase Goods/Services Online by Type of Device Used" location="'i_C21E23&amp;31'!A1" ref="D48"/>
    <hyperlink display="Individuals Who Purchase Goods/Services Online by Type of Delivery/Fulfillment Method Chosen" location="'i_C21&amp;E23&amp;34'!A1" ref="D49"/>
    <hyperlink display="Individuals Who Purchase Goods/Services Online by Mode of Payment Used" location="'i_C21E23&amp;35'!A1" ref="D50"/>
    <hyperlink display="Individuals Who are Not Using Electronic Payments on Online Purchases" location="'i_C21&amp;E23&amp;36'!A1" ref="D51"/>
    <hyperlink display="Individuals Who are Not Purchasing Online by Type of Reason" location="'i_C21&amp;E23&amp;44'!A1" ref="D52"/>
    <hyperlink display="Individuals Who are Aware of Any Government Websites or Online Services" location="'i_D1&amp;2'!A1" ref="D53"/>
    <hyperlink display="Individuals with Internet Who are Using the Internet to Access Government Websites/Services" location="'i_D1&amp;2'!A1" ref="D54"/>
    <hyperlink display="Individuals Who Used the Internet and Accessed Online Government Websites/Services by Website/Service" location="i_D3!A1" ref="D55"/>
    <hyperlink display="Individuals Who are Aware of Cybersecurity or Data Privacy" location="i_F1!A1" ref="D56"/>
    <hyperlink display="Individuals Who Experienced Any Cyber Incidents (Text Scams, Phishing, and Hacking)" location="'i_F6&amp;7&amp;9&amp;10'!A1" ref="D57"/>
    <hyperlink display="Individuals Who Experienced Any Cyber Incidents and Have Reported the Incident" location="'i_F6&amp;7&amp;9&amp;10'!A1" ref="D58"/>
    <hyperlink display="Individuals Who Experienced Any Cyber Incidents and Have Been a Victim of the Incident by Type" location="'i_F6&amp;7&amp;9&amp;10'!A1" ref="D59"/>
    <hyperlink display="'i_F6&amp;7&amp;9&amp;10'!A1" location="'i_F6&amp;7&amp;9&amp;10'!A1" ref="D60"/>
    <hyperlink display="Individuals Who are Using Artificial Intelligence Applications" location="'i_G1-5'!A1" ref="D61"/>
    <hyperlink display="Individuals Who are Familiar with the Concept of Artificial Intelligence" location="'i_G1-5'!A1" ref="D62"/>
    <hyperlink display="'i_G1-5'!A1" location="'i_G1-5'!A1" ref="D63"/>
    <hyperlink display="Individuals Who Feel Safe/Comfortable in Using Artificial Intelligence" location="'i_G1-5'!A1" ref="D64"/>
    <hyperlink display="'i_G1-5'!A1" location="'i_G1-5'!A1" ref="D65"/>
    <hyperlink display="Individuals Who are Aware and Knowledgeable About e-Waste" location="'i_H1-2'!A1" ref="D66"/>
    <hyperlink display="Individuals Who are Aware of e-Waste by Source of Information" location="'i_H1-2'!A1" ref="D67"/>
    <hyperlink display="Individuals Who Have Disposed an Electronic Device/Appliance" location="i_H3!A1" ref="D68"/>
    <hyperlink display="Individuals by Source of Information About a Disaster" location="i_I1!A1" ref="D69"/>
    <hyperlink display="Individuals by Most Effective Means of Receiving Information on Making Household Safe from Natural Disasters" location="i_I2!A1" ref="D70"/>
    <hyperlink display="Individuals Who Have Received Any Emergency Mobile Alerts" location="i_I3!A1" ref="D71"/>
    <hyperlink display="governemnt websites by platform used to accessed" location="i_D5!A1" ref="D72"/>
    <hyperlink display="individuals who received/experienced cyber incidents" location="i_F6!A1" ref="D73"/>
  </hyperlink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9"/>
    <pageSetUpPr/>
  </sheetPr>
  <sheetViews>
    <sheetView workbookViewId="0"/>
  </sheetViews>
  <sheetFormatPr customHeight="1" defaultColWidth="12.63" defaultRowHeight="15.0"/>
  <cols>
    <col customWidth="1" min="1" max="1" width="39.0"/>
    <col customWidth="1" min="2" max="5" width="14.0"/>
    <col customWidth="1" min="6" max="26" width="8.63"/>
  </cols>
  <sheetData>
    <row r="1">
      <c r="A1" s="5" t="s">
        <v>1</v>
      </c>
    </row>
    <row r="2" ht="15.0" customHeight="1">
      <c r="A2" s="6" t="s">
        <v>12</v>
      </c>
      <c r="B2" s="7"/>
      <c r="C2" s="7"/>
      <c r="D2" s="7"/>
      <c r="E2" s="7"/>
    </row>
    <row r="3">
      <c r="A3" s="8"/>
      <c r="B3" s="9"/>
      <c r="C3" s="9"/>
      <c r="D3" s="9"/>
      <c r="E3" s="9"/>
    </row>
    <row r="4" ht="27.75" customHeight="1">
      <c r="A4" s="11" t="s">
        <v>13</v>
      </c>
      <c r="B4" s="13" t="s">
        <v>21</v>
      </c>
      <c r="C4" s="15"/>
      <c r="D4" s="13" t="s">
        <v>17</v>
      </c>
      <c r="E4" s="15"/>
    </row>
    <row r="5">
      <c r="A5" s="16"/>
      <c r="B5" s="16">
        <v>2019.0</v>
      </c>
      <c r="C5" s="16">
        <v>2024.0</v>
      </c>
      <c r="D5" s="16" t="s">
        <v>25</v>
      </c>
      <c r="E5" s="16">
        <v>2024.0</v>
      </c>
    </row>
    <row r="6">
      <c r="A6" s="16"/>
      <c r="B6" s="20"/>
      <c r="C6" s="20"/>
      <c r="D6" s="20"/>
      <c r="E6" s="20"/>
    </row>
    <row r="7">
      <c r="A7" s="22" t="s">
        <v>33</v>
      </c>
      <c r="B7" s="23">
        <v>2.336096E7</v>
      </c>
      <c r="C7" s="23">
        <v>2.7793884E7</v>
      </c>
      <c r="D7" s="23">
        <v>8.3258836E7</v>
      </c>
      <c r="E7" s="23">
        <v>9.1383228E7</v>
      </c>
    </row>
    <row r="8">
      <c r="A8" s="25" t="s">
        <v>38</v>
      </c>
      <c r="B8" s="26">
        <v>3009545.0</v>
      </c>
      <c r="C8" s="26">
        <v>3667731.0</v>
      </c>
      <c r="D8" s="26">
        <v>1.1005073E7</v>
      </c>
      <c r="E8" s="26">
        <v>1.1919468E7</v>
      </c>
    </row>
    <row r="9">
      <c r="A9" s="25" t="s">
        <v>41</v>
      </c>
      <c r="B9" s="26">
        <v>388188.0</v>
      </c>
      <c r="C9" s="26">
        <v>468413.0</v>
      </c>
      <c r="D9" s="26">
        <v>1394660.0</v>
      </c>
      <c r="E9" s="26">
        <v>1496049.0</v>
      </c>
    </row>
    <row r="10">
      <c r="A10" s="25" t="s">
        <v>43</v>
      </c>
      <c r="B10" s="26">
        <v>1250337.0</v>
      </c>
      <c r="C10" s="26">
        <v>1316881.0</v>
      </c>
      <c r="D10" s="26">
        <v>4063052.0</v>
      </c>
      <c r="E10" s="26">
        <v>4389510.0</v>
      </c>
    </row>
    <row r="11">
      <c r="A11" s="25" t="s">
        <v>44</v>
      </c>
      <c r="B11" s="26">
        <v>855893.0</v>
      </c>
      <c r="C11" s="26">
        <v>934252.0</v>
      </c>
      <c r="D11" s="26">
        <v>2820240.0</v>
      </c>
      <c r="E11" s="26">
        <v>3055894.0</v>
      </c>
    </row>
    <row r="12">
      <c r="A12" s="25" t="s">
        <v>46</v>
      </c>
      <c r="B12" s="26">
        <v>2823200.0</v>
      </c>
      <c r="C12" s="26">
        <v>3161851.0</v>
      </c>
      <c r="D12" s="26">
        <v>9585315.0</v>
      </c>
      <c r="E12" s="26">
        <v>1.070829E7</v>
      </c>
    </row>
    <row r="13">
      <c r="A13" s="25" t="s">
        <v>48</v>
      </c>
      <c r="B13" s="26">
        <v>3486186.0</v>
      </c>
      <c r="C13" s="26">
        <v>4369198.0</v>
      </c>
      <c r="D13" s="26">
        <v>1.2457452E7</v>
      </c>
      <c r="E13" s="26">
        <v>1.3985526E7</v>
      </c>
    </row>
    <row r="14">
      <c r="A14" s="25" t="s">
        <v>50</v>
      </c>
      <c r="B14" s="26">
        <v>686916.0</v>
      </c>
      <c r="C14" s="26">
        <v>828498.0</v>
      </c>
      <c r="D14" s="26">
        <v>2347582.0</v>
      </c>
      <c r="E14" s="26">
        <v>2538126.0</v>
      </c>
    </row>
    <row r="15">
      <c r="A15" s="25" t="s">
        <v>51</v>
      </c>
      <c r="B15" s="26">
        <v>1030986.0</v>
      </c>
      <c r="C15" s="26">
        <v>1384033.0</v>
      </c>
      <c r="D15" s="26">
        <v>4528646.0</v>
      </c>
      <c r="E15" s="26">
        <v>4884805.0</v>
      </c>
    </row>
    <row r="16">
      <c r="A16" s="25" t="s">
        <v>53</v>
      </c>
      <c r="B16" s="26">
        <v>1705556.0</v>
      </c>
      <c r="C16" s="26">
        <v>2040922.0</v>
      </c>
      <c r="D16" s="26">
        <v>6087553.0</v>
      </c>
      <c r="E16" s="26">
        <v>6586874.0</v>
      </c>
    </row>
    <row r="17">
      <c r="A17" s="25" t="s">
        <v>54</v>
      </c>
      <c r="B17" s="26">
        <v>1820052.0</v>
      </c>
      <c r="C17" s="26">
        <v>2077216.0</v>
      </c>
      <c r="D17" s="26">
        <v>6058752.0</v>
      </c>
      <c r="E17" s="26">
        <v>6668940.0</v>
      </c>
    </row>
    <row r="18">
      <c r="A18" s="25" t="s">
        <v>56</v>
      </c>
      <c r="B18" s="26">
        <v>1042723.0</v>
      </c>
      <c r="C18" s="26">
        <v>1200913.0</v>
      </c>
      <c r="D18" s="26">
        <v>3529248.0</v>
      </c>
      <c r="E18" s="26">
        <v>3864215.0</v>
      </c>
    </row>
    <row r="19">
      <c r="A19" s="25" t="s">
        <v>57</v>
      </c>
      <c r="B19" s="26">
        <v>743735.0</v>
      </c>
      <c r="C19" s="26">
        <v>903490.0</v>
      </c>
      <c r="D19" s="26">
        <v>2856878.0</v>
      </c>
      <c r="E19" s="26">
        <v>3062611.0</v>
      </c>
    </row>
    <row r="20">
      <c r="A20" s="25" t="s">
        <v>59</v>
      </c>
      <c r="B20" s="26">
        <v>1058458.0</v>
      </c>
      <c r="C20" s="26">
        <v>1248516.0</v>
      </c>
      <c r="D20" s="26">
        <v>3802692.0</v>
      </c>
      <c r="E20" s="26">
        <v>4175626.0</v>
      </c>
    </row>
    <row r="21" ht="15.75" customHeight="1">
      <c r="A21" s="25" t="s">
        <v>60</v>
      </c>
      <c r="B21" s="26">
        <v>1273085.0</v>
      </c>
      <c r="C21" s="26">
        <v>1492292.0</v>
      </c>
      <c r="D21" s="26">
        <v>4022390.0</v>
      </c>
      <c r="E21" s="26">
        <v>4443602.0</v>
      </c>
    </row>
    <row r="22" ht="15.75" customHeight="1">
      <c r="A22" s="25" t="s">
        <v>63</v>
      </c>
      <c r="B22" s="26">
        <v>1063239.0</v>
      </c>
      <c r="C22" s="26">
        <v>1150631.0</v>
      </c>
      <c r="D22" s="26">
        <v>3705981.0</v>
      </c>
      <c r="E22" s="26">
        <v>3636167.0</v>
      </c>
    </row>
    <row r="23" ht="15.75" customHeight="1">
      <c r="A23" s="25" t="s">
        <v>64</v>
      </c>
      <c r="B23" s="26">
        <v>601512.0</v>
      </c>
      <c r="C23" s="26">
        <v>703005.0</v>
      </c>
      <c r="D23" s="26">
        <v>2050203.0</v>
      </c>
      <c r="E23" s="26">
        <v>2220907.0</v>
      </c>
    </row>
    <row r="24" ht="15.75" customHeight="1">
      <c r="A24" s="25" t="s">
        <v>65</v>
      </c>
      <c r="B24" s="26">
        <v>521349.0</v>
      </c>
      <c r="C24" s="26">
        <v>846042.0</v>
      </c>
      <c r="D24" s="26">
        <v>2943119.0</v>
      </c>
      <c r="E24" s="26">
        <v>3746618.0</v>
      </c>
    </row>
    <row r="25" ht="15.75" customHeight="1">
      <c r="A25" s="28"/>
      <c r="B25" s="28"/>
      <c r="C25" s="28"/>
      <c r="D25" s="28"/>
      <c r="E25" s="28"/>
    </row>
    <row r="26" ht="15.75" customHeight="1">
      <c r="A26" s="9"/>
      <c r="B26" s="9"/>
      <c r="C26" s="9"/>
      <c r="D26" s="9"/>
      <c r="E26" s="9"/>
    </row>
    <row r="27" ht="15.75" customHeight="1">
      <c r="A27" s="29" t="s">
        <v>69</v>
      </c>
      <c r="B27" s="29"/>
      <c r="C27" s="29"/>
      <c r="D27" s="29"/>
      <c r="E27" s="29"/>
      <c r="F27" s="29"/>
      <c r="G27" s="29"/>
      <c r="H27" s="30"/>
      <c r="I27" s="30"/>
      <c r="J27" s="30"/>
      <c r="K27" s="30"/>
      <c r="L27" s="30"/>
      <c r="M27" s="30"/>
      <c r="N27" s="30"/>
    </row>
    <row r="28" ht="15.75" customHeight="1">
      <c r="A28" s="29" t="s">
        <v>72</v>
      </c>
      <c r="B28" s="29"/>
      <c r="C28" s="29"/>
      <c r="D28" s="29"/>
      <c r="E28" s="29"/>
      <c r="F28" s="29"/>
      <c r="G28" s="29"/>
      <c r="H28" s="30"/>
      <c r="I28" s="30"/>
      <c r="J28" s="30"/>
      <c r="K28" s="30"/>
      <c r="L28" s="30"/>
      <c r="M28" s="30"/>
      <c r="N28" s="30"/>
    </row>
    <row r="29" ht="15.75" customHeight="1">
      <c r="A29" s="29" t="s">
        <v>75</v>
      </c>
      <c r="B29" s="29"/>
      <c r="C29" s="29"/>
      <c r="D29" s="29"/>
      <c r="E29" s="29"/>
      <c r="F29" s="29"/>
      <c r="G29" s="29"/>
      <c r="H29" s="30"/>
      <c r="I29" s="30"/>
      <c r="J29" s="30"/>
      <c r="K29" s="30"/>
      <c r="L29" s="30"/>
      <c r="M29" s="30"/>
      <c r="N29" s="30"/>
    </row>
    <row r="30" ht="15.75" customHeight="1">
      <c r="A30" s="29" t="s">
        <v>77</v>
      </c>
      <c r="B30" s="29"/>
      <c r="C30" s="29"/>
      <c r="D30" s="29"/>
      <c r="E30" s="29"/>
      <c r="F30" s="29"/>
      <c r="G30" s="29"/>
      <c r="H30" s="30"/>
      <c r="I30" s="30"/>
      <c r="J30" s="30"/>
      <c r="K30" s="30"/>
      <c r="L30" s="30"/>
      <c r="M30" s="30"/>
      <c r="N30" s="30"/>
    </row>
    <row r="31" ht="15.75" customHeight="1">
      <c r="A31" s="32" t="s">
        <v>76</v>
      </c>
    </row>
    <row r="32" ht="15.75" customHeight="1">
      <c r="A32" s="32"/>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B4:C4"/>
    <mergeCell ref="D4:E4"/>
    <mergeCell ref="A31:N31"/>
    <mergeCell ref="A32:N32"/>
  </mergeCells>
  <hyperlinks>
    <hyperlink display="BACK TO LIST" location="LIST!A1" ref="A1"/>
  </hyperlinks>
  <printOptions/>
  <pageMargins bottom="0.75" footer="0.0" header="0.0" left="0.7" right="0.7" top="0.75"/>
  <pageSetup paperSize="9" scale="63"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9"/>
    <pageSetUpPr/>
  </sheetPr>
  <sheetViews>
    <sheetView workbookViewId="0"/>
  </sheetViews>
  <sheetFormatPr customHeight="1" defaultColWidth="12.63" defaultRowHeight="15.0"/>
  <cols>
    <col customWidth="1" min="1" max="1" width="39.0"/>
    <col customWidth="1" min="2" max="2" width="14.0"/>
    <col customWidth="1" min="3" max="4" width="14.13"/>
    <col customWidth="1" min="5" max="26" width="8.63"/>
  </cols>
  <sheetData>
    <row r="1">
      <c r="A1" s="5" t="s">
        <v>1</v>
      </c>
    </row>
    <row r="2" ht="15.0" customHeight="1">
      <c r="A2" s="6" t="s">
        <v>9</v>
      </c>
      <c r="B2" s="7"/>
    </row>
    <row r="3">
      <c r="A3" s="8"/>
      <c r="B3" s="9"/>
    </row>
    <row r="4" ht="27.75" customHeight="1">
      <c r="A4" s="10" t="s">
        <v>13</v>
      </c>
      <c r="B4" s="13" t="s">
        <v>17</v>
      </c>
      <c r="C4" s="14"/>
      <c r="D4" s="15"/>
    </row>
    <row r="5">
      <c r="A5" s="18"/>
      <c r="B5" s="11" t="s">
        <v>28</v>
      </c>
      <c r="C5" s="11" t="s">
        <v>29</v>
      </c>
      <c r="D5" s="11" t="s">
        <v>30</v>
      </c>
    </row>
    <row r="6">
      <c r="A6" s="16"/>
      <c r="B6" s="20"/>
      <c r="C6" s="20"/>
      <c r="D6" s="20"/>
    </row>
    <row r="7">
      <c r="A7" s="22" t="s">
        <v>33</v>
      </c>
      <c r="B7" s="23">
        <v>9.1383228E7</v>
      </c>
      <c r="C7" s="23">
        <v>4.5892072E7</v>
      </c>
      <c r="D7" s="23">
        <v>4.5491156E7</v>
      </c>
    </row>
    <row r="8">
      <c r="A8" s="25" t="s">
        <v>38</v>
      </c>
      <c r="B8" s="26">
        <v>1.1919468E7</v>
      </c>
      <c r="C8" s="26">
        <v>5828575.0</v>
      </c>
      <c r="D8" s="26">
        <v>6090893.0</v>
      </c>
    </row>
    <row r="9">
      <c r="A9" s="25" t="s">
        <v>41</v>
      </c>
      <c r="B9" s="26">
        <v>1496049.0</v>
      </c>
      <c r="C9" s="26">
        <v>758033.0</v>
      </c>
      <c r="D9" s="26">
        <v>738016.0</v>
      </c>
    </row>
    <row r="10">
      <c r="A10" s="25" t="s">
        <v>43</v>
      </c>
      <c r="B10" s="26">
        <v>4389510.0</v>
      </c>
      <c r="C10" s="26">
        <v>2203738.0</v>
      </c>
      <c r="D10" s="26">
        <v>2185772.0</v>
      </c>
    </row>
    <row r="11">
      <c r="A11" s="25" t="s">
        <v>44</v>
      </c>
      <c r="B11" s="26">
        <v>3055894.0</v>
      </c>
      <c r="C11" s="26">
        <v>1547225.0</v>
      </c>
      <c r="D11" s="26">
        <v>1508669.0</v>
      </c>
    </row>
    <row r="12">
      <c r="A12" s="25" t="s">
        <v>46</v>
      </c>
      <c r="B12" s="26">
        <v>1.070829E7</v>
      </c>
      <c r="C12" s="26">
        <v>5386609.0</v>
      </c>
      <c r="D12" s="26">
        <v>5321681.0</v>
      </c>
    </row>
    <row r="13">
      <c r="A13" s="25" t="s">
        <v>48</v>
      </c>
      <c r="B13" s="26">
        <v>1.3985526E7</v>
      </c>
      <c r="C13" s="26">
        <v>6942876.0</v>
      </c>
      <c r="D13" s="26">
        <v>7042650.0</v>
      </c>
    </row>
    <row r="14">
      <c r="A14" s="25" t="s">
        <v>50</v>
      </c>
      <c r="B14" s="26">
        <v>2538126.0</v>
      </c>
      <c r="C14" s="26">
        <v>1296138.0</v>
      </c>
      <c r="D14" s="26">
        <v>1241988.0</v>
      </c>
    </row>
    <row r="15">
      <c r="A15" s="25" t="s">
        <v>51</v>
      </c>
      <c r="B15" s="26">
        <v>4884805.0</v>
      </c>
      <c r="C15" s="26">
        <v>2481154.0</v>
      </c>
      <c r="D15" s="26">
        <v>2403651.0</v>
      </c>
    </row>
    <row r="16">
      <c r="A16" s="25" t="s">
        <v>53</v>
      </c>
      <c r="B16" s="26">
        <v>6586874.0</v>
      </c>
      <c r="C16" s="26">
        <v>3329796.0</v>
      </c>
      <c r="D16" s="26">
        <v>3257078.0</v>
      </c>
    </row>
    <row r="17">
      <c r="A17" s="25" t="s">
        <v>54</v>
      </c>
      <c r="B17" s="26">
        <v>6668940.0</v>
      </c>
      <c r="C17" s="26">
        <v>3364353.0</v>
      </c>
      <c r="D17" s="26">
        <v>3304587.0</v>
      </c>
    </row>
    <row r="18">
      <c r="A18" s="25" t="s">
        <v>56</v>
      </c>
      <c r="B18" s="26">
        <v>3864215.0</v>
      </c>
      <c r="C18" s="26">
        <v>1981621.0</v>
      </c>
      <c r="D18" s="26">
        <v>1882594.0</v>
      </c>
    </row>
    <row r="19">
      <c r="A19" s="25" t="s">
        <v>57</v>
      </c>
      <c r="B19" s="26">
        <v>3062611.0</v>
      </c>
      <c r="C19" s="26">
        <v>1551720.0</v>
      </c>
      <c r="D19" s="26">
        <v>1510891.0</v>
      </c>
    </row>
    <row r="20">
      <c r="A20" s="25" t="s">
        <v>59</v>
      </c>
      <c r="B20" s="26">
        <v>4175626.0</v>
      </c>
      <c r="C20" s="26">
        <v>2122406.0</v>
      </c>
      <c r="D20" s="26">
        <v>2053220.0</v>
      </c>
    </row>
    <row r="21" ht="15.75" customHeight="1">
      <c r="A21" s="25" t="s">
        <v>60</v>
      </c>
      <c r="B21" s="26">
        <v>4443602.0</v>
      </c>
      <c r="C21" s="26">
        <v>2262161.0</v>
      </c>
      <c r="D21" s="26">
        <v>2181441.0</v>
      </c>
    </row>
    <row r="22" ht="15.75" customHeight="1">
      <c r="A22" s="25" t="s">
        <v>63</v>
      </c>
      <c r="B22" s="26">
        <v>3636167.0</v>
      </c>
      <c r="C22" s="26">
        <v>1848362.0</v>
      </c>
      <c r="D22" s="26">
        <v>1787805.0</v>
      </c>
    </row>
    <row r="23" ht="15.75" customHeight="1">
      <c r="A23" s="25" t="s">
        <v>64</v>
      </c>
      <c r="B23" s="26">
        <v>2220907.0</v>
      </c>
      <c r="C23" s="26">
        <v>1138262.0</v>
      </c>
      <c r="D23" s="26">
        <v>1082645.0</v>
      </c>
    </row>
    <row r="24" ht="15.75" customHeight="1">
      <c r="A24" s="25" t="s">
        <v>65</v>
      </c>
      <c r="B24" s="26">
        <v>3746618.0</v>
      </c>
      <c r="C24" s="26">
        <v>1849043.0</v>
      </c>
      <c r="D24" s="26">
        <v>1897575.0</v>
      </c>
    </row>
    <row r="25" ht="15.75" customHeight="1">
      <c r="A25" s="28"/>
      <c r="B25" s="28"/>
      <c r="C25" s="28"/>
      <c r="D25" s="28"/>
    </row>
    <row r="26" ht="15.75" customHeight="1">
      <c r="A26" s="9"/>
      <c r="B26" s="9"/>
    </row>
    <row r="27" ht="15.75" customHeight="1">
      <c r="A27" s="29" t="s">
        <v>69</v>
      </c>
      <c r="B27" s="29"/>
      <c r="C27" s="29"/>
      <c r="D27" s="29"/>
      <c r="E27" s="30"/>
      <c r="F27" s="30"/>
      <c r="G27" s="30"/>
      <c r="H27" s="30"/>
      <c r="I27" s="30"/>
      <c r="J27" s="30"/>
      <c r="K27" s="30"/>
    </row>
    <row r="28" ht="15.75" customHeight="1">
      <c r="A28" s="29" t="s">
        <v>72</v>
      </c>
      <c r="B28" s="29"/>
      <c r="C28" s="29"/>
      <c r="D28" s="29"/>
      <c r="E28" s="30"/>
      <c r="F28" s="30"/>
      <c r="G28" s="30"/>
      <c r="H28" s="30"/>
      <c r="I28" s="30"/>
      <c r="J28" s="30"/>
      <c r="K28" s="30"/>
    </row>
    <row r="29" ht="15.75" customHeight="1">
      <c r="A29" s="29" t="s">
        <v>73</v>
      </c>
      <c r="B29" s="29"/>
      <c r="C29" s="29"/>
      <c r="D29" s="29"/>
      <c r="E29" s="30"/>
      <c r="F29" s="30"/>
      <c r="G29" s="30"/>
      <c r="H29" s="30"/>
      <c r="I29" s="30"/>
      <c r="J29" s="30"/>
      <c r="K29" s="30"/>
    </row>
    <row r="30" ht="15.75" customHeight="1">
      <c r="A30" s="32" t="s">
        <v>76</v>
      </c>
    </row>
    <row r="31" ht="15.75" customHeight="1">
      <c r="A31" s="32"/>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4:A5"/>
    <mergeCell ref="B4:D4"/>
    <mergeCell ref="A30:K30"/>
    <mergeCell ref="A31:K31"/>
  </mergeCells>
  <hyperlinks>
    <hyperlink display="BACK TO LIST" location="LIST!A1" ref="A1"/>
  </hyperlinks>
  <printOptions/>
  <pageMargins bottom="0.75" footer="0.0" header="0.0" left="0.7" right="0.7" top="0.75"/>
  <pageSetup paperSize="9" scale="63"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9"/>
    <pageSetUpPr/>
  </sheetPr>
  <sheetViews>
    <sheetView workbookViewId="0"/>
  </sheetViews>
  <sheetFormatPr customHeight="1" defaultColWidth="12.63" defaultRowHeight="15.0"/>
  <cols>
    <col customWidth="1" min="1" max="1" width="39.0"/>
    <col customWidth="1" min="2" max="7" width="14.0"/>
    <col customWidth="1" min="8" max="26" width="8.63"/>
  </cols>
  <sheetData>
    <row r="1">
      <c r="A1" s="5" t="s">
        <v>1</v>
      </c>
    </row>
    <row r="2" ht="15.0" customHeight="1">
      <c r="A2" s="6" t="s">
        <v>11</v>
      </c>
      <c r="B2" s="7"/>
      <c r="C2" s="7"/>
      <c r="D2" s="7"/>
      <c r="E2" s="7"/>
      <c r="F2" s="7"/>
      <c r="G2" s="7"/>
    </row>
    <row r="3">
      <c r="A3" s="8"/>
      <c r="B3" s="9"/>
      <c r="C3" s="9"/>
      <c r="D3" s="9"/>
      <c r="E3" s="9"/>
      <c r="F3" s="9"/>
      <c r="G3" s="9"/>
    </row>
    <row r="4">
      <c r="A4" s="10" t="s">
        <v>13</v>
      </c>
      <c r="B4" s="12">
        <v>2019.0</v>
      </c>
      <c r="C4" s="14"/>
      <c r="D4" s="15"/>
      <c r="E4" s="12">
        <v>2024.0</v>
      </c>
      <c r="F4" s="14"/>
      <c r="G4" s="15"/>
    </row>
    <row r="5" ht="30.0" customHeight="1">
      <c r="A5" s="17"/>
      <c r="B5" s="21" t="s">
        <v>26</v>
      </c>
      <c r="C5" s="13" t="s">
        <v>32</v>
      </c>
      <c r="D5" s="15"/>
      <c r="E5" s="21" t="s">
        <v>26</v>
      </c>
      <c r="F5" s="13" t="s">
        <v>32</v>
      </c>
      <c r="G5" s="15"/>
    </row>
    <row r="6">
      <c r="A6" s="18"/>
      <c r="B6" s="18"/>
      <c r="C6" s="24" t="s">
        <v>37</v>
      </c>
      <c r="D6" s="24" t="s">
        <v>39</v>
      </c>
      <c r="E6" s="18"/>
      <c r="F6" s="24" t="s">
        <v>37</v>
      </c>
      <c r="G6" s="24" t="s">
        <v>39</v>
      </c>
    </row>
    <row r="7">
      <c r="A7" s="16"/>
      <c r="B7" s="20"/>
      <c r="C7" s="20"/>
      <c r="D7" s="20"/>
      <c r="E7" s="20"/>
      <c r="F7" s="20"/>
      <c r="G7" s="20"/>
    </row>
    <row r="8">
      <c r="A8" s="22" t="s">
        <v>33</v>
      </c>
      <c r="B8" s="23">
        <f>'Estimated Totals'!B7</f>
        <v>23360960</v>
      </c>
      <c r="C8" s="23">
        <v>5616891.0</v>
      </c>
      <c r="D8" s="27">
        <f t="shared" ref="D8:D25" si="1">(C8/B8)*100</f>
        <v>24.043922</v>
      </c>
      <c r="E8" s="23">
        <v>2.7793884E7</v>
      </c>
      <c r="F8" s="23">
        <v>3633210.0</v>
      </c>
      <c r="G8" s="27">
        <f t="shared" ref="G8:G25" si="2">(F8/E8)*100</f>
        <v>13.07197655</v>
      </c>
    </row>
    <row r="9">
      <c r="A9" s="25" t="s">
        <v>38</v>
      </c>
      <c r="B9" s="26">
        <f>'Estimated Totals'!B8</f>
        <v>3009545</v>
      </c>
      <c r="C9" s="26">
        <v>361042.0</v>
      </c>
      <c r="D9" s="31">
        <f t="shared" si="1"/>
        <v>11.99656426</v>
      </c>
      <c r="E9" s="26">
        <v>3667731.0</v>
      </c>
      <c r="F9" s="26">
        <v>514743.0</v>
      </c>
      <c r="G9" s="31">
        <f t="shared" si="2"/>
        <v>14.03437166</v>
      </c>
    </row>
    <row r="10">
      <c r="A10" s="25" t="s">
        <v>41</v>
      </c>
      <c r="B10" s="26">
        <f>'Estimated Totals'!B9</f>
        <v>388188</v>
      </c>
      <c r="C10" s="26">
        <v>96263.0</v>
      </c>
      <c r="D10" s="31">
        <f t="shared" si="1"/>
        <v>24.798036</v>
      </c>
      <c r="E10" s="26">
        <v>468413.0</v>
      </c>
      <c r="F10" s="26">
        <v>13931.0</v>
      </c>
      <c r="G10" s="31">
        <f t="shared" si="2"/>
        <v>2.974084835</v>
      </c>
    </row>
    <row r="11">
      <c r="A11" s="25" t="s">
        <v>43</v>
      </c>
      <c r="B11" s="26">
        <f>'Estimated Totals'!B10</f>
        <v>1250337</v>
      </c>
      <c r="C11" s="26">
        <v>154243.0</v>
      </c>
      <c r="D11" s="31">
        <f t="shared" si="1"/>
        <v>12.33611418</v>
      </c>
      <c r="E11" s="26">
        <v>1316881.0</v>
      </c>
      <c r="F11" s="26">
        <v>110041.0</v>
      </c>
      <c r="G11" s="31">
        <f t="shared" si="2"/>
        <v>8.356184044</v>
      </c>
    </row>
    <row r="12">
      <c r="A12" s="25" t="s">
        <v>44</v>
      </c>
      <c r="B12" s="26">
        <f>'Estimated Totals'!B11</f>
        <v>855893</v>
      </c>
      <c r="C12" s="26">
        <v>328525.0</v>
      </c>
      <c r="D12" s="31">
        <f t="shared" si="1"/>
        <v>38.38388677</v>
      </c>
      <c r="E12" s="26">
        <v>934252.0</v>
      </c>
      <c r="F12" s="26">
        <v>177943.0</v>
      </c>
      <c r="G12" s="31">
        <f t="shared" si="2"/>
        <v>19.04657416</v>
      </c>
    </row>
    <row r="13">
      <c r="A13" s="25" t="s">
        <v>46</v>
      </c>
      <c r="B13" s="26">
        <f>'Estimated Totals'!B12</f>
        <v>2823200</v>
      </c>
      <c r="C13" s="26">
        <v>737821.0</v>
      </c>
      <c r="D13" s="31">
        <f t="shared" si="1"/>
        <v>26.13420941</v>
      </c>
      <c r="E13" s="26">
        <v>3161851.0</v>
      </c>
      <c r="F13" s="26">
        <v>537446.0</v>
      </c>
      <c r="G13" s="31">
        <f t="shared" si="2"/>
        <v>16.99782817</v>
      </c>
    </row>
    <row r="14">
      <c r="A14" s="25" t="s">
        <v>48</v>
      </c>
      <c r="B14" s="26">
        <f>'Estimated Totals'!B13</f>
        <v>3486186</v>
      </c>
      <c r="C14" s="26">
        <v>368496.0</v>
      </c>
      <c r="D14" s="31">
        <f t="shared" si="1"/>
        <v>10.57017612</v>
      </c>
      <c r="E14" s="26">
        <v>4369198.0</v>
      </c>
      <c r="F14" s="26">
        <v>554046.0</v>
      </c>
      <c r="G14" s="31">
        <f t="shared" si="2"/>
        <v>12.68072539</v>
      </c>
    </row>
    <row r="15">
      <c r="A15" s="25" t="s">
        <v>50</v>
      </c>
      <c r="B15" s="26">
        <f>'Estimated Totals'!B14</f>
        <v>686916</v>
      </c>
      <c r="C15" s="26">
        <v>127459.0</v>
      </c>
      <c r="D15" s="31">
        <f t="shared" si="1"/>
        <v>18.55525275</v>
      </c>
      <c r="E15" s="26">
        <v>828498.0</v>
      </c>
      <c r="F15" s="26">
        <v>41005.0</v>
      </c>
      <c r="G15" s="31">
        <f t="shared" si="2"/>
        <v>4.949317922</v>
      </c>
    </row>
    <row r="16">
      <c r="A16" s="25" t="s">
        <v>51</v>
      </c>
      <c r="B16" s="26">
        <f>'Estimated Totals'!B15</f>
        <v>1030986</v>
      </c>
      <c r="C16" s="26">
        <v>269349.0</v>
      </c>
      <c r="D16" s="31">
        <f t="shared" si="1"/>
        <v>26.12537901</v>
      </c>
      <c r="E16" s="26">
        <v>1384033.0</v>
      </c>
      <c r="F16" s="26">
        <v>314774.0</v>
      </c>
      <c r="G16" s="31">
        <f t="shared" si="2"/>
        <v>22.74324384</v>
      </c>
    </row>
    <row r="17">
      <c r="A17" s="25" t="s">
        <v>53</v>
      </c>
      <c r="B17" s="26">
        <f>'Estimated Totals'!B16</f>
        <v>1705556</v>
      </c>
      <c r="C17" s="26">
        <v>580410.0</v>
      </c>
      <c r="D17" s="31">
        <f t="shared" si="1"/>
        <v>34.03054488</v>
      </c>
      <c r="E17" s="26">
        <v>2040922.0</v>
      </c>
      <c r="F17" s="26">
        <v>174752.0</v>
      </c>
      <c r="G17" s="31">
        <f t="shared" si="2"/>
        <v>8.562404639</v>
      </c>
    </row>
    <row r="18">
      <c r="A18" s="25" t="s">
        <v>54</v>
      </c>
      <c r="B18" s="26">
        <f>'Estimated Totals'!B17</f>
        <v>1820052</v>
      </c>
      <c r="C18" s="26">
        <v>341703.0</v>
      </c>
      <c r="D18" s="31">
        <f t="shared" si="1"/>
        <v>18.7743537</v>
      </c>
      <c r="E18" s="26">
        <v>2077216.0</v>
      </c>
      <c r="F18" s="26">
        <v>109608.0</v>
      </c>
      <c r="G18" s="31">
        <f t="shared" si="2"/>
        <v>5.276678015</v>
      </c>
    </row>
    <row r="19">
      <c r="A19" s="25" t="s">
        <v>56</v>
      </c>
      <c r="B19" s="26">
        <f>'Estimated Totals'!B18</f>
        <v>1042723</v>
      </c>
      <c r="C19" s="26">
        <v>80941.0</v>
      </c>
      <c r="D19" s="31">
        <f t="shared" si="1"/>
        <v>7.76246424</v>
      </c>
      <c r="E19" s="26">
        <v>1200913.0</v>
      </c>
      <c r="F19" s="26">
        <v>83721.0</v>
      </c>
      <c r="G19" s="31">
        <f t="shared" si="2"/>
        <v>6.971445892</v>
      </c>
    </row>
    <row r="20">
      <c r="A20" s="25" t="s">
        <v>57</v>
      </c>
      <c r="B20" s="26">
        <f>'Estimated Totals'!B19</f>
        <v>743735</v>
      </c>
      <c r="C20" s="26">
        <v>261601.0</v>
      </c>
      <c r="D20" s="31">
        <f t="shared" si="1"/>
        <v>35.17395309</v>
      </c>
      <c r="E20" s="26">
        <v>903490.0</v>
      </c>
      <c r="F20" s="26">
        <v>126027.0</v>
      </c>
      <c r="G20" s="31">
        <f t="shared" si="2"/>
        <v>13.94890923</v>
      </c>
    </row>
    <row r="21" ht="15.75" customHeight="1">
      <c r="A21" s="25" t="s">
        <v>59</v>
      </c>
      <c r="B21" s="26">
        <f>'Estimated Totals'!B20</f>
        <v>1058458</v>
      </c>
      <c r="C21" s="26">
        <v>561061.0</v>
      </c>
      <c r="D21" s="31">
        <f t="shared" si="1"/>
        <v>53.00739377</v>
      </c>
      <c r="E21" s="26">
        <v>1248516.0</v>
      </c>
      <c r="F21" s="26">
        <v>174699.0</v>
      </c>
      <c r="G21" s="31">
        <f t="shared" si="2"/>
        <v>13.99253193</v>
      </c>
    </row>
    <row r="22" ht="15.75" customHeight="1">
      <c r="A22" s="25" t="s">
        <v>60</v>
      </c>
      <c r="B22" s="26">
        <f>'Estimated Totals'!B21</f>
        <v>1273085</v>
      </c>
      <c r="C22" s="26">
        <v>402362.0</v>
      </c>
      <c r="D22" s="31">
        <f t="shared" si="1"/>
        <v>31.6052738</v>
      </c>
      <c r="E22" s="26">
        <v>1492292.0</v>
      </c>
      <c r="F22" s="26">
        <v>269428.0</v>
      </c>
      <c r="G22" s="31">
        <f t="shared" si="2"/>
        <v>18.05464346</v>
      </c>
    </row>
    <row r="23" ht="15.75" customHeight="1">
      <c r="A23" s="25" t="s">
        <v>63</v>
      </c>
      <c r="B23" s="26">
        <f>'Estimated Totals'!B22</f>
        <v>1063239</v>
      </c>
      <c r="C23" s="26">
        <v>242286.0</v>
      </c>
      <c r="D23" s="31">
        <f t="shared" si="1"/>
        <v>22.78753883</v>
      </c>
      <c r="E23" s="26">
        <v>1150631.0</v>
      </c>
      <c r="F23" s="26">
        <v>135849.0</v>
      </c>
      <c r="G23" s="31">
        <f t="shared" si="2"/>
        <v>11.80647836</v>
      </c>
    </row>
    <row r="24" ht="15.75" customHeight="1">
      <c r="A24" s="25" t="s">
        <v>64</v>
      </c>
      <c r="B24" s="26">
        <f>'Estimated Totals'!B23</f>
        <v>601512</v>
      </c>
      <c r="C24" s="26">
        <v>453384.0</v>
      </c>
      <c r="D24" s="31">
        <f t="shared" si="1"/>
        <v>75.37405738</v>
      </c>
      <c r="E24" s="26">
        <v>703005.0</v>
      </c>
      <c r="F24" s="26">
        <v>104641.0</v>
      </c>
      <c r="G24" s="31">
        <f t="shared" si="2"/>
        <v>14.8848159</v>
      </c>
    </row>
    <row r="25" ht="15.75" customHeight="1">
      <c r="A25" s="25" t="s">
        <v>65</v>
      </c>
      <c r="B25" s="26">
        <f>'Estimated Totals'!B24</f>
        <v>521349</v>
      </c>
      <c r="C25" s="26">
        <v>249945.0</v>
      </c>
      <c r="D25" s="31">
        <f t="shared" si="1"/>
        <v>47.94197361</v>
      </c>
      <c r="E25" s="26">
        <v>846042.0</v>
      </c>
      <c r="F25" s="26">
        <v>190555.0</v>
      </c>
      <c r="G25" s="31">
        <f t="shared" si="2"/>
        <v>22.52311351</v>
      </c>
    </row>
    <row r="26" ht="15.75" customHeight="1">
      <c r="A26" s="28"/>
      <c r="B26" s="28"/>
      <c r="C26" s="28"/>
      <c r="D26" s="28"/>
      <c r="E26" s="28"/>
      <c r="F26" s="28"/>
      <c r="G26" s="28"/>
    </row>
    <row r="27" ht="15.75" customHeight="1">
      <c r="A27" s="9"/>
      <c r="B27" s="9"/>
      <c r="C27" s="9"/>
      <c r="D27" s="9"/>
      <c r="E27" s="9"/>
      <c r="F27" s="9"/>
      <c r="G27" s="9"/>
    </row>
    <row r="28" ht="15.75" customHeight="1">
      <c r="A28" s="29" t="s">
        <v>69</v>
      </c>
      <c r="B28" s="29"/>
      <c r="C28" s="29"/>
      <c r="D28" s="29"/>
      <c r="E28" s="29"/>
      <c r="F28" s="29"/>
      <c r="G28" s="29"/>
      <c r="H28" s="29"/>
      <c r="I28" s="29"/>
      <c r="J28" s="30"/>
      <c r="K28" s="30"/>
      <c r="L28" s="30"/>
      <c r="M28" s="30"/>
      <c r="N28" s="30"/>
      <c r="O28" s="30"/>
      <c r="P28" s="30"/>
    </row>
    <row r="29" ht="15.75" customHeight="1">
      <c r="A29" s="29" t="s">
        <v>72</v>
      </c>
      <c r="B29" s="29"/>
      <c r="C29" s="29"/>
      <c r="D29" s="29"/>
      <c r="E29" s="29"/>
      <c r="F29" s="29"/>
      <c r="G29" s="29"/>
      <c r="H29" s="29"/>
      <c r="I29" s="29"/>
      <c r="J29" s="30"/>
      <c r="K29" s="30"/>
      <c r="L29" s="30"/>
      <c r="M29" s="30"/>
      <c r="N29" s="30"/>
      <c r="O29" s="30"/>
      <c r="P29" s="30"/>
    </row>
    <row r="30" ht="15.75" customHeight="1">
      <c r="A30" s="29" t="s">
        <v>122</v>
      </c>
      <c r="B30" s="29"/>
      <c r="C30" s="29"/>
      <c r="D30" s="29"/>
      <c r="E30" s="29"/>
      <c r="F30" s="29"/>
      <c r="G30" s="29"/>
      <c r="H30" s="29"/>
      <c r="I30" s="29"/>
      <c r="J30" s="30"/>
      <c r="K30" s="30"/>
      <c r="L30" s="30"/>
      <c r="M30" s="30"/>
      <c r="N30" s="30"/>
      <c r="O30" s="30"/>
      <c r="P30" s="30"/>
    </row>
    <row r="31" ht="15.75" customHeight="1">
      <c r="A31" s="32" t="s">
        <v>76</v>
      </c>
    </row>
    <row r="32" ht="15.75" customHeight="1">
      <c r="A32" s="32"/>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A31:P31"/>
    <mergeCell ref="A32:P32"/>
    <mergeCell ref="A4:A6"/>
    <mergeCell ref="B4:D4"/>
    <mergeCell ref="E4:G4"/>
    <mergeCell ref="B5:B6"/>
    <mergeCell ref="C5:D5"/>
    <mergeCell ref="E5:E6"/>
    <mergeCell ref="F5:G5"/>
  </mergeCells>
  <hyperlinks>
    <hyperlink display="BACK TO LIST" location="LIST!A1" ref="A1"/>
  </hyperlinks>
  <printOptions/>
  <pageMargins bottom="0.75" footer="0.0" header="0.0" left="0.7" right="0.7" top="0.75"/>
  <pageSetup paperSize="9" scale="63"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9"/>
    <pageSetUpPr/>
  </sheetPr>
  <sheetViews>
    <sheetView workbookViewId="0"/>
  </sheetViews>
  <sheetFormatPr customHeight="1" defaultColWidth="12.63" defaultRowHeight="15.0"/>
  <cols>
    <col customWidth="1" min="1" max="1" width="39.0"/>
    <col customWidth="1" min="2" max="2" width="15.88"/>
    <col customWidth="1" min="3" max="6" width="14.0"/>
    <col customWidth="1" min="7" max="26" width="8.63"/>
  </cols>
  <sheetData>
    <row r="1">
      <c r="A1" s="5" t="s">
        <v>1</v>
      </c>
    </row>
    <row r="2" ht="15.0" customHeight="1">
      <c r="A2" s="33" t="s">
        <v>139</v>
      </c>
    </row>
    <row r="3">
      <c r="A3" s="8"/>
    </row>
    <row r="4">
      <c r="A4" s="10" t="s">
        <v>13</v>
      </c>
      <c r="B4" s="12">
        <v>2024.0</v>
      </c>
      <c r="C4" s="14"/>
      <c r="D4" s="14"/>
      <c r="E4" s="14"/>
      <c r="F4" s="15"/>
    </row>
    <row r="5" ht="15.0" customHeight="1">
      <c r="A5" s="17"/>
      <c r="B5" s="21" t="s">
        <v>32</v>
      </c>
      <c r="C5" s="13" t="s">
        <v>140</v>
      </c>
      <c r="D5" s="15"/>
      <c r="E5" s="13" t="s">
        <v>141</v>
      </c>
      <c r="F5" s="15"/>
    </row>
    <row r="6" ht="47.25" customHeight="1">
      <c r="A6" s="18"/>
      <c r="B6" s="18"/>
      <c r="C6" s="24" t="s">
        <v>37</v>
      </c>
      <c r="D6" s="24" t="s">
        <v>39</v>
      </c>
      <c r="E6" s="24" t="s">
        <v>37</v>
      </c>
      <c r="F6" s="24" t="s">
        <v>39</v>
      </c>
    </row>
    <row r="7">
      <c r="A7" s="16"/>
      <c r="B7" s="20"/>
      <c r="C7" s="20"/>
      <c r="D7" s="20"/>
      <c r="E7" s="20"/>
      <c r="F7" s="20"/>
    </row>
    <row r="8">
      <c r="A8" s="22" t="s">
        <v>33</v>
      </c>
      <c r="B8" s="23">
        <v>3633210.0</v>
      </c>
      <c r="C8" s="23">
        <v>542871.0</v>
      </c>
      <c r="D8" s="27">
        <f t="shared" ref="D8:D25" si="1">(C8/B8)*100</f>
        <v>14.94191087</v>
      </c>
      <c r="E8" s="23">
        <v>3305348.0</v>
      </c>
      <c r="F8" s="27">
        <f t="shared" ref="F8:F25" si="2">(E8/B8)*100</f>
        <v>90.97596891</v>
      </c>
      <c r="G8" s="34"/>
      <c r="I8" s="35"/>
      <c r="J8" s="35"/>
      <c r="K8" s="35"/>
      <c r="L8" s="35"/>
      <c r="M8" s="35"/>
    </row>
    <row r="9">
      <c r="A9" s="25" t="s">
        <v>38</v>
      </c>
      <c r="B9" s="26">
        <v>514743.0</v>
      </c>
      <c r="C9" s="26">
        <v>44992.0</v>
      </c>
      <c r="D9" s="31">
        <f t="shared" si="1"/>
        <v>8.74067253</v>
      </c>
      <c r="E9" s="26">
        <v>491247.0</v>
      </c>
      <c r="F9" s="31">
        <f t="shared" si="2"/>
        <v>95.43539203</v>
      </c>
      <c r="G9" s="34"/>
      <c r="I9" s="35"/>
      <c r="J9" s="35"/>
      <c r="K9" s="35"/>
      <c r="L9" s="35"/>
      <c r="M9" s="35"/>
    </row>
    <row r="10">
      <c r="A10" s="25" t="s">
        <v>41</v>
      </c>
      <c r="B10" s="26">
        <v>13931.0</v>
      </c>
      <c r="C10" s="26">
        <v>3545.0</v>
      </c>
      <c r="D10" s="31">
        <f t="shared" si="1"/>
        <v>25.44684517</v>
      </c>
      <c r="E10" s="26">
        <v>11223.0</v>
      </c>
      <c r="F10" s="31">
        <f t="shared" si="2"/>
        <v>80.56133802</v>
      </c>
      <c r="G10" s="34"/>
      <c r="I10" s="35"/>
      <c r="J10" s="35"/>
      <c r="K10" s="35"/>
      <c r="L10" s="35"/>
      <c r="M10" s="35"/>
    </row>
    <row r="11">
      <c r="A11" s="25" t="s">
        <v>43</v>
      </c>
      <c r="B11" s="26">
        <v>110041.0</v>
      </c>
      <c r="C11" s="26">
        <v>10380.0</v>
      </c>
      <c r="D11" s="31">
        <f t="shared" si="1"/>
        <v>9.432847757</v>
      </c>
      <c r="E11" s="26">
        <v>106070.0</v>
      </c>
      <c r="F11" s="31">
        <f t="shared" si="2"/>
        <v>96.39134504</v>
      </c>
      <c r="G11" s="34"/>
      <c r="I11" s="35"/>
      <c r="J11" s="35"/>
      <c r="K11" s="35"/>
      <c r="L11" s="35"/>
      <c r="M11" s="35"/>
    </row>
    <row r="12">
      <c r="A12" s="25" t="s">
        <v>44</v>
      </c>
      <c r="B12" s="26">
        <v>177943.0</v>
      </c>
      <c r="C12" s="26">
        <v>35501.0</v>
      </c>
      <c r="D12" s="31">
        <f t="shared" si="1"/>
        <v>19.95077075</v>
      </c>
      <c r="E12" s="26">
        <v>163111.0</v>
      </c>
      <c r="F12" s="31">
        <f t="shared" si="2"/>
        <v>91.66474658</v>
      </c>
      <c r="G12" s="34"/>
      <c r="I12" s="35"/>
      <c r="J12" s="35"/>
      <c r="K12" s="35"/>
      <c r="L12" s="35"/>
      <c r="M12" s="35"/>
    </row>
    <row r="13">
      <c r="A13" s="25" t="s">
        <v>46</v>
      </c>
      <c r="B13" s="26">
        <v>537446.0</v>
      </c>
      <c r="C13" s="26">
        <v>57482.0</v>
      </c>
      <c r="D13" s="31">
        <f t="shared" si="1"/>
        <v>10.6954001</v>
      </c>
      <c r="E13" s="26">
        <v>516563.0</v>
      </c>
      <c r="F13" s="31">
        <f t="shared" si="2"/>
        <v>96.11440033</v>
      </c>
      <c r="G13" s="34"/>
      <c r="I13" s="35"/>
      <c r="J13" s="35"/>
      <c r="K13" s="35"/>
      <c r="L13" s="35"/>
      <c r="M13" s="35"/>
    </row>
    <row r="14">
      <c r="A14" s="25" t="s">
        <v>48</v>
      </c>
      <c r="B14" s="26">
        <v>554046.0</v>
      </c>
      <c r="C14" s="26">
        <v>44999.0</v>
      </c>
      <c r="D14" s="31">
        <f t="shared" si="1"/>
        <v>8.121888796</v>
      </c>
      <c r="E14" s="26">
        <v>521611.0</v>
      </c>
      <c r="F14" s="31">
        <f t="shared" si="2"/>
        <v>94.14579295</v>
      </c>
      <c r="G14" s="34"/>
      <c r="I14" s="35"/>
      <c r="J14" s="35"/>
      <c r="K14" s="35"/>
      <c r="L14" s="35"/>
      <c r="M14" s="35"/>
    </row>
    <row r="15">
      <c r="A15" s="25" t="s">
        <v>50</v>
      </c>
      <c r="B15" s="26">
        <v>41005.0</v>
      </c>
      <c r="C15" s="26">
        <v>4920.0</v>
      </c>
      <c r="D15" s="31">
        <f t="shared" si="1"/>
        <v>11.99853676</v>
      </c>
      <c r="E15" s="26">
        <v>36666.0</v>
      </c>
      <c r="F15" s="31">
        <f t="shared" si="2"/>
        <v>89.41836361</v>
      </c>
      <c r="G15" s="34"/>
      <c r="I15" s="35"/>
      <c r="J15" s="35"/>
      <c r="K15" s="35"/>
      <c r="L15" s="35"/>
      <c r="M15" s="35"/>
    </row>
    <row r="16">
      <c r="A16" s="25" t="s">
        <v>51</v>
      </c>
      <c r="B16" s="26">
        <v>314774.0</v>
      </c>
      <c r="C16" s="26">
        <v>25667.0</v>
      </c>
      <c r="D16" s="31">
        <f t="shared" si="1"/>
        <v>8.154104214</v>
      </c>
      <c r="E16" s="26">
        <v>301454.0</v>
      </c>
      <c r="F16" s="31">
        <f t="shared" si="2"/>
        <v>95.76839256</v>
      </c>
      <c r="G16" s="34"/>
      <c r="I16" s="35"/>
      <c r="J16" s="35"/>
      <c r="K16" s="35"/>
      <c r="L16" s="35"/>
      <c r="M16" s="35"/>
    </row>
    <row r="17">
      <c r="A17" s="25" t="s">
        <v>53</v>
      </c>
      <c r="B17" s="26">
        <v>174752.0</v>
      </c>
      <c r="C17" s="26">
        <v>19136.0</v>
      </c>
      <c r="D17" s="31">
        <f t="shared" si="1"/>
        <v>10.95037539</v>
      </c>
      <c r="E17" s="26">
        <v>163520.0</v>
      </c>
      <c r="F17" s="31">
        <f t="shared" si="2"/>
        <v>93.57260575</v>
      </c>
      <c r="G17" s="34"/>
      <c r="I17" s="35"/>
      <c r="J17" s="35"/>
      <c r="K17" s="35"/>
      <c r="L17" s="35"/>
      <c r="M17" s="35"/>
    </row>
    <row r="18">
      <c r="A18" s="25" t="s">
        <v>54</v>
      </c>
      <c r="B18" s="26">
        <v>109608.0</v>
      </c>
      <c r="C18" s="26">
        <v>23989.0</v>
      </c>
      <c r="D18" s="31">
        <f t="shared" si="1"/>
        <v>21.88617619</v>
      </c>
      <c r="E18" s="26">
        <v>88082.0</v>
      </c>
      <c r="F18" s="31">
        <f t="shared" si="2"/>
        <v>80.36092256</v>
      </c>
      <c r="G18" s="34"/>
      <c r="I18" s="35"/>
      <c r="J18" s="35"/>
      <c r="K18" s="35"/>
      <c r="L18" s="35"/>
      <c r="M18" s="35"/>
    </row>
    <row r="19">
      <c r="A19" s="25" t="s">
        <v>56</v>
      </c>
      <c r="B19" s="26">
        <v>83721.0</v>
      </c>
      <c r="C19" s="26">
        <v>9284.0</v>
      </c>
      <c r="D19" s="31">
        <f t="shared" si="1"/>
        <v>11.08921298</v>
      </c>
      <c r="E19" s="26">
        <v>75303.0</v>
      </c>
      <c r="F19" s="31">
        <f t="shared" si="2"/>
        <v>89.94517505</v>
      </c>
      <c r="G19" s="34"/>
      <c r="I19" s="35"/>
      <c r="J19" s="35"/>
      <c r="K19" s="35"/>
      <c r="L19" s="35"/>
      <c r="M19" s="35"/>
    </row>
    <row r="20">
      <c r="A20" s="25" t="s">
        <v>57</v>
      </c>
      <c r="B20" s="26">
        <v>126027.0</v>
      </c>
      <c r="C20" s="26">
        <v>39548.0</v>
      </c>
      <c r="D20" s="31">
        <f t="shared" si="1"/>
        <v>31.38057718</v>
      </c>
      <c r="E20" s="26">
        <v>93926.0</v>
      </c>
      <c r="F20" s="31">
        <f t="shared" si="2"/>
        <v>74.52847406</v>
      </c>
      <c r="G20" s="34"/>
      <c r="I20" s="35"/>
      <c r="J20" s="35"/>
      <c r="K20" s="35"/>
      <c r="L20" s="35"/>
      <c r="M20" s="35"/>
    </row>
    <row r="21" ht="15.75" customHeight="1">
      <c r="A21" s="25" t="s">
        <v>59</v>
      </c>
      <c r="B21" s="26">
        <v>174699.0</v>
      </c>
      <c r="C21" s="26">
        <v>32750.0</v>
      </c>
      <c r="D21" s="31">
        <f t="shared" si="1"/>
        <v>18.74652975</v>
      </c>
      <c r="E21" s="26">
        <v>149492.0</v>
      </c>
      <c r="F21" s="31">
        <f t="shared" si="2"/>
        <v>85.57118243</v>
      </c>
      <c r="G21" s="34"/>
      <c r="I21" s="35"/>
      <c r="J21" s="35"/>
      <c r="K21" s="35"/>
      <c r="L21" s="35"/>
      <c r="M21" s="35"/>
    </row>
    <row r="22" ht="15.75" customHeight="1">
      <c r="A22" s="25" t="s">
        <v>60</v>
      </c>
      <c r="B22" s="26">
        <v>269428.0</v>
      </c>
      <c r="C22" s="26">
        <v>38373.0</v>
      </c>
      <c r="D22" s="31">
        <f t="shared" si="1"/>
        <v>14.242395</v>
      </c>
      <c r="E22" s="26">
        <v>241629.0</v>
      </c>
      <c r="F22" s="31">
        <f t="shared" si="2"/>
        <v>89.68221566</v>
      </c>
      <c r="G22" s="34"/>
      <c r="I22" s="35"/>
      <c r="J22" s="35"/>
      <c r="K22" s="35"/>
      <c r="L22" s="35"/>
      <c r="M22" s="35"/>
    </row>
    <row r="23" ht="15.75" customHeight="1">
      <c r="A23" s="25" t="s">
        <v>63</v>
      </c>
      <c r="B23" s="26">
        <v>135849.0</v>
      </c>
      <c r="C23" s="26">
        <v>28094.0</v>
      </c>
      <c r="D23" s="31">
        <f t="shared" si="1"/>
        <v>20.68031417</v>
      </c>
      <c r="E23" s="26">
        <v>117167.0</v>
      </c>
      <c r="F23" s="31">
        <f t="shared" si="2"/>
        <v>86.24796649</v>
      </c>
      <c r="G23" s="34"/>
      <c r="I23" s="35"/>
      <c r="J23" s="35"/>
      <c r="K23" s="35"/>
      <c r="L23" s="35"/>
      <c r="M23" s="35"/>
    </row>
    <row r="24" ht="15.75" customHeight="1">
      <c r="A24" s="25" t="s">
        <v>64</v>
      </c>
      <c r="B24" s="26">
        <v>104641.0</v>
      </c>
      <c r="C24" s="26">
        <v>15367.0</v>
      </c>
      <c r="D24" s="31">
        <f t="shared" si="1"/>
        <v>14.68544834</v>
      </c>
      <c r="E24" s="26">
        <v>100141.0</v>
      </c>
      <c r="F24" s="31">
        <f t="shared" si="2"/>
        <v>95.69958238</v>
      </c>
      <c r="G24" s="34"/>
      <c r="I24" s="35"/>
      <c r="J24" s="35"/>
      <c r="K24" s="35"/>
      <c r="L24" s="35"/>
      <c r="M24" s="35"/>
    </row>
    <row r="25" ht="15.75" customHeight="1">
      <c r="A25" s="25" t="s">
        <v>65</v>
      </c>
      <c r="B25" s="26">
        <v>190555.0</v>
      </c>
      <c r="C25" s="26">
        <v>108843.0</v>
      </c>
      <c r="D25" s="31">
        <f t="shared" si="1"/>
        <v>57.11894204</v>
      </c>
      <c r="E25" s="26">
        <v>128143.0</v>
      </c>
      <c r="F25" s="31">
        <f t="shared" si="2"/>
        <v>67.24725145</v>
      </c>
      <c r="G25" s="34"/>
      <c r="I25" s="35"/>
      <c r="J25" s="35"/>
      <c r="K25" s="35"/>
      <c r="L25" s="35"/>
      <c r="M25" s="35"/>
    </row>
    <row r="26" ht="15.75" customHeight="1">
      <c r="A26" s="28"/>
      <c r="B26" s="28"/>
      <c r="C26" s="28"/>
      <c r="D26" s="28"/>
      <c r="E26" s="28"/>
      <c r="F26" s="28"/>
    </row>
    <row r="27" ht="15.75" customHeight="1">
      <c r="A27" s="9"/>
    </row>
    <row r="28" ht="15.75" customHeight="1">
      <c r="A28" s="29" t="s">
        <v>69</v>
      </c>
      <c r="B28" s="29"/>
      <c r="C28" s="29"/>
      <c r="D28" s="30"/>
      <c r="E28" s="30"/>
      <c r="F28" s="30"/>
      <c r="G28" s="30"/>
      <c r="H28" s="30"/>
      <c r="I28" s="30"/>
      <c r="J28" s="30"/>
    </row>
    <row r="29" ht="15.75" customHeight="1">
      <c r="A29" s="29" t="s">
        <v>72</v>
      </c>
      <c r="B29" s="29"/>
      <c r="C29" s="29"/>
      <c r="D29" s="30"/>
      <c r="E29" s="30"/>
      <c r="F29" s="30"/>
      <c r="G29" s="30"/>
      <c r="H29" s="30"/>
      <c r="I29" s="30"/>
      <c r="J29" s="30"/>
    </row>
    <row r="30" ht="15.75" customHeight="1">
      <c r="A30" s="29" t="s">
        <v>145</v>
      </c>
      <c r="B30" s="29"/>
      <c r="C30" s="29"/>
      <c r="D30" s="30"/>
      <c r="E30" s="30"/>
      <c r="F30" s="30"/>
      <c r="G30" s="30"/>
      <c r="H30" s="30"/>
      <c r="I30" s="30"/>
      <c r="J30" s="30"/>
    </row>
    <row r="31" ht="15.75" customHeight="1">
      <c r="A31" s="32" t="s">
        <v>76</v>
      </c>
    </row>
    <row r="32" ht="15.75" customHeight="1">
      <c r="A32" s="32"/>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4:A6"/>
    <mergeCell ref="B4:F4"/>
    <mergeCell ref="B5:B6"/>
    <mergeCell ref="C5:D5"/>
    <mergeCell ref="E5:F5"/>
    <mergeCell ref="A31:J31"/>
    <mergeCell ref="A32:J32"/>
  </mergeCells>
  <hyperlinks>
    <hyperlink display="BACK TO LIST" location="LIST!A1" ref="A1"/>
  </hyperlinks>
  <printOptions/>
  <pageMargins bottom="0.75" footer="0.0" header="0.0" left="0.7" right="0.7" top="0.75"/>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9"/>
    <pageSetUpPr/>
  </sheetPr>
  <sheetViews>
    <sheetView workbookViewId="0"/>
  </sheetViews>
  <sheetFormatPr customHeight="1" defaultColWidth="12.63" defaultRowHeight="15.0"/>
  <cols>
    <col customWidth="1" min="1" max="1" width="39.0"/>
    <col customWidth="1" min="2" max="7" width="14.0"/>
    <col customWidth="1" min="8" max="26" width="8.63"/>
  </cols>
  <sheetData>
    <row r="1">
      <c r="A1" s="5" t="s">
        <v>1</v>
      </c>
      <c r="B1" s="5"/>
      <c r="C1" s="5"/>
      <c r="D1" s="5"/>
    </row>
    <row r="2" ht="15.0" customHeight="1">
      <c r="A2" s="6" t="s">
        <v>142</v>
      </c>
      <c r="B2" s="6"/>
      <c r="C2" s="6"/>
      <c r="D2" s="6"/>
      <c r="E2" s="6"/>
      <c r="F2" s="6"/>
      <c r="G2" s="6"/>
    </row>
    <row r="3">
      <c r="A3" s="8"/>
      <c r="B3" s="8"/>
      <c r="C3" s="8"/>
      <c r="D3" s="8"/>
      <c r="E3" s="9"/>
      <c r="F3" s="9"/>
      <c r="G3" s="9"/>
    </row>
    <row r="4">
      <c r="A4" s="10" t="s">
        <v>13</v>
      </c>
      <c r="B4" s="12">
        <v>2019.0</v>
      </c>
      <c r="C4" s="14"/>
      <c r="D4" s="15"/>
      <c r="E4" s="12">
        <v>2024.0</v>
      </c>
      <c r="F4" s="14"/>
      <c r="G4" s="15"/>
    </row>
    <row r="5" ht="30.0" customHeight="1">
      <c r="A5" s="17"/>
      <c r="B5" s="21" t="s">
        <v>143</v>
      </c>
      <c r="C5" s="13" t="s">
        <v>144</v>
      </c>
      <c r="D5" s="15"/>
      <c r="E5" s="21" t="s">
        <v>143</v>
      </c>
      <c r="F5" s="13" t="s">
        <v>144</v>
      </c>
      <c r="G5" s="15"/>
    </row>
    <row r="6">
      <c r="A6" s="18"/>
      <c r="B6" s="18"/>
      <c r="C6" s="24" t="s">
        <v>37</v>
      </c>
      <c r="D6" s="24" t="s">
        <v>39</v>
      </c>
      <c r="E6" s="18"/>
      <c r="F6" s="24" t="s">
        <v>37</v>
      </c>
      <c r="G6" s="24" t="s">
        <v>39</v>
      </c>
    </row>
    <row r="7">
      <c r="A7" s="16"/>
      <c r="B7" s="20"/>
      <c r="C7" s="20"/>
      <c r="D7" s="20"/>
      <c r="E7" s="20"/>
      <c r="F7" s="20"/>
      <c r="G7" s="20"/>
    </row>
    <row r="8">
      <c r="A8" s="22" t="s">
        <v>33</v>
      </c>
      <c r="B8" s="23">
        <f>'Estimated Totals'!D7</f>
        <v>83258836</v>
      </c>
      <c r="C8" s="23">
        <v>3.5596631E7</v>
      </c>
      <c r="D8" s="27">
        <f t="shared" ref="D8:D25" si="1">(C8/$B8)*100</f>
        <v>42.75417807</v>
      </c>
      <c r="E8" s="23">
        <v>9.1383228E7</v>
      </c>
      <c r="F8" s="23">
        <v>7.4604857E7</v>
      </c>
      <c r="G8" s="27">
        <f t="shared" ref="G8:G25" si="2">(F8/$E8)*100</f>
        <v>81.63955097</v>
      </c>
    </row>
    <row r="9">
      <c r="A9" s="25" t="s">
        <v>38</v>
      </c>
      <c r="B9" s="26">
        <f>'Estimated Totals'!D8</f>
        <v>11005073</v>
      </c>
      <c r="C9" s="26">
        <v>5768766.0</v>
      </c>
      <c r="D9" s="31">
        <f t="shared" si="1"/>
        <v>52.41915251</v>
      </c>
      <c r="E9" s="26">
        <v>1.1919468E7</v>
      </c>
      <c r="F9" s="26">
        <v>1.1067327E7</v>
      </c>
      <c r="G9" s="31">
        <f t="shared" si="2"/>
        <v>92.85084703</v>
      </c>
    </row>
    <row r="10">
      <c r="A10" s="25" t="s">
        <v>41</v>
      </c>
      <c r="B10" s="26">
        <f>'Estimated Totals'!D9</f>
        <v>1394660</v>
      </c>
      <c r="C10" s="26">
        <v>558479.0</v>
      </c>
      <c r="D10" s="31">
        <f t="shared" si="1"/>
        <v>40.04409677</v>
      </c>
      <c r="E10" s="26">
        <v>1496049.0</v>
      </c>
      <c r="F10" s="26">
        <v>1275461.0</v>
      </c>
      <c r="G10" s="31">
        <f t="shared" si="2"/>
        <v>85.25529578</v>
      </c>
    </row>
    <row r="11">
      <c r="A11" s="25" t="s">
        <v>43</v>
      </c>
      <c r="B11" s="26">
        <f>'Estimated Totals'!D10</f>
        <v>4063052</v>
      </c>
      <c r="C11" s="26">
        <v>2042932.0</v>
      </c>
      <c r="D11" s="31">
        <f t="shared" si="1"/>
        <v>50.28072493</v>
      </c>
      <c r="E11" s="26">
        <v>4389510.0</v>
      </c>
      <c r="F11" s="26">
        <v>3697111.0</v>
      </c>
      <c r="G11" s="31">
        <f t="shared" si="2"/>
        <v>84.22605257</v>
      </c>
    </row>
    <row r="12">
      <c r="A12" s="25" t="s">
        <v>44</v>
      </c>
      <c r="B12" s="26">
        <f>'Estimated Totals'!D11</f>
        <v>2820240</v>
      </c>
      <c r="C12" s="26">
        <v>1435281.0</v>
      </c>
      <c r="D12" s="31">
        <f t="shared" si="1"/>
        <v>50.89215811</v>
      </c>
      <c r="E12" s="26">
        <v>3055894.0</v>
      </c>
      <c r="F12" s="26">
        <v>2601214.0</v>
      </c>
      <c r="G12" s="31">
        <f t="shared" si="2"/>
        <v>85.12121167</v>
      </c>
    </row>
    <row r="13">
      <c r="A13" s="25" t="s">
        <v>46</v>
      </c>
      <c r="B13" s="26">
        <f>'Estimated Totals'!D12</f>
        <v>9585315</v>
      </c>
      <c r="C13" s="26">
        <v>4868143.0</v>
      </c>
      <c r="D13" s="31">
        <f t="shared" si="1"/>
        <v>50.78751194</v>
      </c>
      <c r="E13" s="26">
        <v>1.070829E7</v>
      </c>
      <c r="F13" s="26">
        <v>9150022.0</v>
      </c>
      <c r="G13" s="31">
        <f t="shared" si="2"/>
        <v>85.44802205</v>
      </c>
    </row>
    <row r="14">
      <c r="A14" s="25" t="s">
        <v>48</v>
      </c>
      <c r="B14" s="26">
        <f>'Estimated Totals'!D13</f>
        <v>12457452</v>
      </c>
      <c r="C14" s="26">
        <v>6007369.0</v>
      </c>
      <c r="D14" s="31">
        <f t="shared" si="1"/>
        <v>48.2230957</v>
      </c>
      <c r="E14" s="26">
        <v>1.3985526E7</v>
      </c>
      <c r="F14" s="26">
        <v>1.2243411E7</v>
      </c>
      <c r="G14" s="31">
        <f t="shared" si="2"/>
        <v>87.54344313</v>
      </c>
    </row>
    <row r="15">
      <c r="A15" s="25" t="s">
        <v>50</v>
      </c>
      <c r="B15" s="26">
        <f>'Estimated Totals'!D14</f>
        <v>2347582</v>
      </c>
      <c r="C15" s="26">
        <v>906922.0</v>
      </c>
      <c r="D15" s="31">
        <f t="shared" si="1"/>
        <v>38.63217557</v>
      </c>
      <c r="E15" s="26">
        <v>2538126.0</v>
      </c>
      <c r="F15" s="26">
        <v>1994623.0</v>
      </c>
      <c r="G15" s="31">
        <f t="shared" si="2"/>
        <v>78.58644527</v>
      </c>
    </row>
    <row r="16">
      <c r="A16" s="25" t="s">
        <v>51</v>
      </c>
      <c r="B16" s="26">
        <f>'Estimated Totals'!D15</f>
        <v>4528646</v>
      </c>
      <c r="C16" s="26">
        <v>1707802.0</v>
      </c>
      <c r="D16" s="31">
        <f t="shared" si="1"/>
        <v>37.7110951</v>
      </c>
      <c r="E16" s="26">
        <v>4884805.0</v>
      </c>
      <c r="F16" s="26">
        <v>3669067.0</v>
      </c>
      <c r="G16" s="31">
        <f t="shared" si="2"/>
        <v>75.11184172</v>
      </c>
    </row>
    <row r="17">
      <c r="A17" s="25" t="s">
        <v>53</v>
      </c>
      <c r="B17" s="26">
        <f>'Estimated Totals'!D16</f>
        <v>6087553</v>
      </c>
      <c r="C17" s="26">
        <v>2127227.0</v>
      </c>
      <c r="D17" s="31">
        <f t="shared" si="1"/>
        <v>34.94387646</v>
      </c>
      <c r="E17" s="26">
        <v>6586874.0</v>
      </c>
      <c r="F17" s="26">
        <v>5061672.0</v>
      </c>
      <c r="G17" s="31">
        <f t="shared" si="2"/>
        <v>76.84482806</v>
      </c>
    </row>
    <row r="18">
      <c r="A18" s="25" t="s">
        <v>54</v>
      </c>
      <c r="B18" s="26">
        <f>'Estimated Totals'!D17</f>
        <v>6058752</v>
      </c>
      <c r="C18" s="26">
        <v>1540479.0</v>
      </c>
      <c r="D18" s="31">
        <f t="shared" si="1"/>
        <v>25.42568172</v>
      </c>
      <c r="E18" s="26">
        <v>6668940.0</v>
      </c>
      <c r="F18" s="26">
        <v>5435569.0</v>
      </c>
      <c r="G18" s="31">
        <f t="shared" si="2"/>
        <v>81.50574154</v>
      </c>
    </row>
    <row r="19">
      <c r="A19" s="25" t="s">
        <v>56</v>
      </c>
      <c r="B19" s="26">
        <f>'Estimated Totals'!D18</f>
        <v>3529248</v>
      </c>
      <c r="C19" s="26">
        <v>1650577.0</v>
      </c>
      <c r="D19" s="31">
        <f t="shared" si="1"/>
        <v>46.76851839</v>
      </c>
      <c r="E19" s="26">
        <v>3864215.0</v>
      </c>
      <c r="F19" s="26">
        <v>2961963.0</v>
      </c>
      <c r="G19" s="31">
        <f t="shared" si="2"/>
        <v>76.65109214</v>
      </c>
    </row>
    <row r="20">
      <c r="A20" s="25" t="s">
        <v>57</v>
      </c>
      <c r="B20" s="26">
        <f>'Estimated Totals'!D19</f>
        <v>2856878</v>
      </c>
      <c r="C20" s="26">
        <v>1098075.0</v>
      </c>
      <c r="D20" s="31">
        <f t="shared" si="1"/>
        <v>38.43618803</v>
      </c>
      <c r="E20" s="26">
        <v>3062611.0</v>
      </c>
      <c r="F20" s="26">
        <v>2108508.0</v>
      </c>
      <c r="G20" s="31">
        <f t="shared" si="2"/>
        <v>68.84674547</v>
      </c>
    </row>
    <row r="21" ht="15.75" customHeight="1">
      <c r="A21" s="25" t="s">
        <v>59</v>
      </c>
      <c r="B21" s="26">
        <f>'Estimated Totals'!D20</f>
        <v>3802692</v>
      </c>
      <c r="C21" s="26">
        <v>1109109.0</v>
      </c>
      <c r="D21" s="31">
        <f t="shared" si="1"/>
        <v>29.16641684</v>
      </c>
      <c r="E21" s="26">
        <v>4175626.0</v>
      </c>
      <c r="F21" s="26">
        <v>3275275.0</v>
      </c>
      <c r="G21" s="31">
        <f t="shared" si="2"/>
        <v>78.4379396</v>
      </c>
    </row>
    <row r="22" ht="15.75" customHeight="1">
      <c r="A22" s="25" t="s">
        <v>60</v>
      </c>
      <c r="B22" s="26">
        <f>'Estimated Totals'!D21</f>
        <v>4022390</v>
      </c>
      <c r="C22" s="26">
        <v>1691744.0</v>
      </c>
      <c r="D22" s="31">
        <f t="shared" si="1"/>
        <v>42.05817934</v>
      </c>
      <c r="E22" s="26">
        <v>4443602.0</v>
      </c>
      <c r="F22" s="26">
        <v>3256282.0</v>
      </c>
      <c r="G22" s="31">
        <f t="shared" si="2"/>
        <v>73.28023527</v>
      </c>
    </row>
    <row r="23" ht="15.75" customHeight="1">
      <c r="A23" s="25" t="s">
        <v>63</v>
      </c>
      <c r="B23" s="26">
        <f>'Estimated Totals'!D22</f>
        <v>3705981</v>
      </c>
      <c r="C23" s="26">
        <v>1511343.0</v>
      </c>
      <c r="D23" s="31">
        <f t="shared" si="1"/>
        <v>40.78118587</v>
      </c>
      <c r="E23" s="26">
        <v>3636167.0</v>
      </c>
      <c r="F23" s="26">
        <v>2591202.0</v>
      </c>
      <c r="G23" s="31">
        <f t="shared" si="2"/>
        <v>71.26190849</v>
      </c>
    </row>
    <row r="24" ht="15.75" customHeight="1">
      <c r="A24" s="25" t="s">
        <v>64</v>
      </c>
      <c r="B24" s="26">
        <f>'Estimated Totals'!D23</f>
        <v>2050203</v>
      </c>
      <c r="C24" s="26">
        <v>807469.0</v>
      </c>
      <c r="D24" s="31">
        <f t="shared" si="1"/>
        <v>39.38483165</v>
      </c>
      <c r="E24" s="26">
        <v>2220907.0</v>
      </c>
      <c r="F24" s="26">
        <v>1759868.0</v>
      </c>
      <c r="G24" s="31">
        <f t="shared" si="2"/>
        <v>79.24095876</v>
      </c>
    </row>
    <row r="25" ht="15.75" customHeight="1">
      <c r="A25" s="25" t="s">
        <v>65</v>
      </c>
      <c r="B25" s="26">
        <f>'Estimated Totals'!D24</f>
        <v>2943119</v>
      </c>
      <c r="C25" s="26">
        <v>764912.0</v>
      </c>
      <c r="D25" s="31">
        <f t="shared" si="1"/>
        <v>25.98984275</v>
      </c>
      <c r="E25" s="26">
        <v>3746618.0</v>
      </c>
      <c r="F25" s="26">
        <v>2456282.0</v>
      </c>
      <c r="G25" s="31">
        <f t="shared" si="2"/>
        <v>65.55997969</v>
      </c>
    </row>
    <row r="26" ht="15.75" customHeight="1">
      <c r="A26" s="28"/>
      <c r="B26" s="28"/>
      <c r="C26" s="28"/>
      <c r="D26" s="28"/>
      <c r="E26" s="28"/>
      <c r="F26" s="28"/>
      <c r="G26" s="28"/>
    </row>
    <row r="27" ht="15.75" customHeight="1">
      <c r="A27" s="9"/>
      <c r="B27" s="9"/>
      <c r="C27" s="9"/>
      <c r="D27" s="9"/>
      <c r="E27" s="9"/>
      <c r="F27" s="9"/>
      <c r="G27" s="9"/>
    </row>
    <row r="28" ht="15.75" customHeight="1">
      <c r="A28" s="29" t="s">
        <v>69</v>
      </c>
      <c r="B28" s="29"/>
      <c r="C28" s="29"/>
      <c r="D28" s="29"/>
      <c r="E28" s="29"/>
      <c r="F28" s="29"/>
      <c r="G28" s="29"/>
      <c r="H28" s="29"/>
      <c r="I28" s="29"/>
      <c r="J28" s="30"/>
      <c r="K28" s="30"/>
      <c r="L28" s="30"/>
      <c r="M28" s="30"/>
      <c r="N28" s="30"/>
      <c r="O28" s="30"/>
      <c r="P28" s="30"/>
    </row>
    <row r="29" ht="15.75" customHeight="1">
      <c r="A29" s="29" t="s">
        <v>72</v>
      </c>
      <c r="B29" s="29"/>
      <c r="C29" s="29"/>
      <c r="D29" s="29"/>
      <c r="E29" s="29"/>
      <c r="F29" s="29"/>
      <c r="G29" s="29"/>
      <c r="H29" s="29"/>
      <c r="I29" s="29"/>
      <c r="J29" s="30"/>
      <c r="K29" s="30"/>
      <c r="L29" s="30"/>
      <c r="M29" s="30"/>
      <c r="N29" s="30"/>
      <c r="O29" s="30"/>
      <c r="P29" s="30"/>
    </row>
    <row r="30" ht="15.75" customHeight="1">
      <c r="A30" s="29" t="s">
        <v>151</v>
      </c>
      <c r="B30" s="29"/>
      <c r="C30" s="29"/>
      <c r="D30" s="29"/>
      <c r="E30" s="29"/>
      <c r="F30" s="29"/>
      <c r="G30" s="29"/>
      <c r="H30" s="29"/>
      <c r="I30" s="29"/>
      <c r="J30" s="30"/>
      <c r="K30" s="30"/>
      <c r="L30" s="30"/>
      <c r="M30" s="30"/>
      <c r="N30" s="30"/>
      <c r="O30" s="30"/>
      <c r="P30" s="30"/>
    </row>
    <row r="31" ht="15.75" customHeight="1">
      <c r="A31" s="29" t="s">
        <v>152</v>
      </c>
      <c r="B31" s="29"/>
      <c r="C31" s="29"/>
      <c r="D31" s="29"/>
      <c r="E31" s="29"/>
      <c r="F31" s="29"/>
      <c r="G31" s="29"/>
      <c r="H31" s="29"/>
      <c r="I31" s="29"/>
      <c r="J31" s="30"/>
      <c r="K31" s="30"/>
      <c r="L31" s="30"/>
      <c r="M31" s="30"/>
      <c r="N31" s="30"/>
      <c r="O31" s="30"/>
      <c r="P31" s="30"/>
    </row>
    <row r="32" ht="15.75" customHeight="1">
      <c r="A32" s="32" t="s">
        <v>76</v>
      </c>
    </row>
    <row r="33" ht="15.75" customHeight="1">
      <c r="A33" s="32"/>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A32:P32"/>
    <mergeCell ref="A33:P33"/>
    <mergeCell ref="A4:A6"/>
    <mergeCell ref="B4:D4"/>
    <mergeCell ref="E4:G4"/>
    <mergeCell ref="B5:B6"/>
    <mergeCell ref="C5:D5"/>
    <mergeCell ref="E5:E6"/>
    <mergeCell ref="F5:G5"/>
  </mergeCells>
  <hyperlinks>
    <hyperlink display="BACK TO LIST" location="LIST!A1" ref="A1"/>
  </hyperlinks>
  <printOptions/>
  <pageMargins bottom="0.75" footer="0.0" header="0.0" left="0.7" right="0.7" top="0.75"/>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9"/>
    <pageSetUpPr/>
  </sheetPr>
  <sheetViews>
    <sheetView workbookViewId="0"/>
  </sheetViews>
  <sheetFormatPr customHeight="1" defaultColWidth="12.63" defaultRowHeight="15.0"/>
  <cols>
    <col customWidth="1" min="1" max="1" width="39.0"/>
    <col customWidth="1" min="2" max="15" width="14.0"/>
    <col customWidth="1" min="16" max="26" width="8.63"/>
  </cols>
  <sheetData>
    <row r="1">
      <c r="A1" s="5" t="s">
        <v>1</v>
      </c>
      <c r="B1" s="5"/>
      <c r="C1" s="5"/>
      <c r="D1" s="5"/>
      <c r="E1" s="5"/>
      <c r="F1" s="5"/>
      <c r="G1" s="5"/>
      <c r="H1" s="5"/>
    </row>
    <row r="2" ht="15.0" customHeight="1">
      <c r="A2" s="6" t="s">
        <v>146</v>
      </c>
      <c r="B2" s="6"/>
      <c r="C2" s="6"/>
      <c r="D2" s="6"/>
      <c r="E2" s="6"/>
      <c r="F2" s="6"/>
      <c r="G2" s="6"/>
      <c r="H2" s="6"/>
      <c r="I2" s="7"/>
      <c r="J2" s="7"/>
      <c r="K2" s="7"/>
    </row>
    <row r="3">
      <c r="A3" s="8"/>
      <c r="B3" s="8"/>
      <c r="C3" s="8"/>
      <c r="D3" s="8"/>
      <c r="E3" s="8"/>
      <c r="F3" s="8"/>
      <c r="G3" s="8"/>
      <c r="H3" s="8"/>
      <c r="I3" s="9"/>
      <c r="J3" s="9"/>
      <c r="K3" s="9"/>
    </row>
    <row r="4">
      <c r="A4" s="10" t="s">
        <v>13</v>
      </c>
      <c r="B4" s="12">
        <v>2019.0</v>
      </c>
      <c r="C4" s="14"/>
      <c r="D4" s="14"/>
      <c r="E4" s="14"/>
      <c r="F4" s="14"/>
      <c r="G4" s="14"/>
      <c r="H4" s="15"/>
      <c r="I4" s="12">
        <v>2024.0</v>
      </c>
      <c r="J4" s="14"/>
      <c r="K4" s="14"/>
      <c r="L4" s="14"/>
      <c r="M4" s="14"/>
      <c r="N4" s="14"/>
      <c r="O4" s="15"/>
    </row>
    <row r="5" ht="13.5" customHeight="1">
      <c r="A5" s="17"/>
      <c r="B5" s="21" t="s">
        <v>143</v>
      </c>
      <c r="C5" s="36" t="s">
        <v>147</v>
      </c>
      <c r="D5" s="37"/>
      <c r="E5" s="38" t="s">
        <v>148</v>
      </c>
      <c r="F5" s="14"/>
      <c r="G5" s="14"/>
      <c r="H5" s="15"/>
      <c r="I5" s="21" t="s">
        <v>143</v>
      </c>
      <c r="J5" s="36" t="s">
        <v>147</v>
      </c>
      <c r="K5" s="37"/>
      <c r="L5" s="38" t="s">
        <v>148</v>
      </c>
      <c r="M5" s="14"/>
      <c r="N5" s="14"/>
      <c r="O5" s="15"/>
    </row>
    <row r="6">
      <c r="A6" s="17"/>
      <c r="B6" s="17"/>
      <c r="C6" s="39"/>
      <c r="D6" s="40"/>
      <c r="E6" s="38" t="s">
        <v>149</v>
      </c>
      <c r="F6" s="15"/>
      <c r="G6" s="38" t="s">
        <v>150</v>
      </c>
      <c r="H6" s="15"/>
      <c r="I6" s="17"/>
      <c r="J6" s="39"/>
      <c r="K6" s="40"/>
      <c r="L6" s="38" t="s">
        <v>149</v>
      </c>
      <c r="M6" s="15"/>
      <c r="N6" s="38" t="s">
        <v>150</v>
      </c>
      <c r="O6" s="15"/>
    </row>
    <row r="7">
      <c r="A7" s="18"/>
      <c r="B7" s="18"/>
      <c r="C7" s="24" t="s">
        <v>37</v>
      </c>
      <c r="D7" s="24" t="s">
        <v>39</v>
      </c>
      <c r="E7" s="24" t="s">
        <v>37</v>
      </c>
      <c r="F7" s="24" t="s">
        <v>39</v>
      </c>
      <c r="G7" s="24" t="s">
        <v>37</v>
      </c>
      <c r="H7" s="24" t="s">
        <v>39</v>
      </c>
      <c r="I7" s="18"/>
      <c r="J7" s="24" t="s">
        <v>37</v>
      </c>
      <c r="K7" s="24" t="s">
        <v>39</v>
      </c>
      <c r="L7" s="24" t="s">
        <v>37</v>
      </c>
      <c r="M7" s="24" t="s">
        <v>39</v>
      </c>
      <c r="N7" s="24" t="s">
        <v>37</v>
      </c>
      <c r="O7" s="24" t="s">
        <v>39</v>
      </c>
    </row>
    <row r="8">
      <c r="A8" s="16"/>
      <c r="B8" s="20"/>
      <c r="C8" s="20"/>
      <c r="D8" s="20"/>
      <c r="E8" s="20"/>
      <c r="F8" s="20"/>
      <c r="G8" s="20"/>
      <c r="H8" s="20"/>
      <c r="I8" s="20"/>
      <c r="J8" s="20"/>
      <c r="K8" s="20"/>
      <c r="L8" s="20"/>
      <c r="M8" s="20"/>
      <c r="N8" s="20"/>
      <c r="O8" s="20"/>
    </row>
    <row r="9">
      <c r="A9" s="22" t="s">
        <v>33</v>
      </c>
      <c r="B9" s="23">
        <f>'Estimated Totals'!D7</f>
        <v>83258836</v>
      </c>
      <c r="C9" s="23">
        <v>3.3940106355463006E7</v>
      </c>
      <c r="D9" s="27">
        <f t="shared" ref="D9:D26" si="1">(C9/$B9)*100</f>
        <v>40.76456985</v>
      </c>
      <c r="E9" s="23">
        <v>1.0656099823009996E7</v>
      </c>
      <c r="F9" s="27">
        <f t="shared" ref="F9:F26" si="2">(E9/$C9)*100</f>
        <v>31.39677793</v>
      </c>
      <c r="G9" s="23">
        <v>2.4261441494415E7</v>
      </c>
      <c r="H9" s="27">
        <f t="shared" ref="H9:H26" si="3">(G9/$C9)*100</f>
        <v>71.48310391</v>
      </c>
      <c r="I9" s="23">
        <v>9.1383228E7</v>
      </c>
      <c r="J9" s="23">
        <v>7.2873415E7</v>
      </c>
      <c r="K9" s="27">
        <f t="shared" ref="K9:K26" si="4">(J9/$I9)*100</f>
        <v>79.74484661</v>
      </c>
      <c r="L9" s="23">
        <v>5516992.0</v>
      </c>
      <c r="M9" s="27">
        <f t="shared" ref="M9:M26" si="5">(L9/$J9)*100</f>
        <v>7.570651108</v>
      </c>
      <c r="N9" s="23">
        <v>6.7746423E7</v>
      </c>
      <c r="O9" s="27">
        <f t="shared" ref="O9:O26" si="6">(N9/$J9)*100</f>
        <v>92.96452348</v>
      </c>
    </row>
    <row r="10">
      <c r="A10" s="25" t="s">
        <v>38</v>
      </c>
      <c r="B10" s="26">
        <f>'Estimated Totals'!D8</f>
        <v>11005073</v>
      </c>
      <c r="C10" s="26">
        <v>5613470.537345001</v>
      </c>
      <c r="D10" s="31">
        <f t="shared" si="1"/>
        <v>51.00802637</v>
      </c>
      <c r="E10" s="26">
        <v>708861.9561599996</v>
      </c>
      <c r="F10" s="31">
        <f t="shared" si="2"/>
        <v>12.62787346</v>
      </c>
      <c r="G10" s="26">
        <v>5042024.459934996</v>
      </c>
      <c r="H10" s="31">
        <f t="shared" si="3"/>
        <v>89.82009305</v>
      </c>
      <c r="I10" s="26">
        <v>1.1919468E7</v>
      </c>
      <c r="J10" s="26">
        <v>1.0924677E7</v>
      </c>
      <c r="K10" s="31">
        <f t="shared" si="4"/>
        <v>91.65406543</v>
      </c>
      <c r="L10" s="26">
        <v>156776.0</v>
      </c>
      <c r="M10" s="31">
        <f t="shared" si="5"/>
        <v>1.435063023</v>
      </c>
      <c r="N10" s="26">
        <v>1.0793232E7</v>
      </c>
      <c r="O10" s="31">
        <f t="shared" si="6"/>
        <v>98.79680653</v>
      </c>
    </row>
    <row r="11">
      <c r="A11" s="25" t="s">
        <v>41</v>
      </c>
      <c r="B11" s="26">
        <f>'Estimated Totals'!D9</f>
        <v>1394660</v>
      </c>
      <c r="C11" s="26">
        <v>556690.6639449998</v>
      </c>
      <c r="D11" s="31">
        <f t="shared" si="1"/>
        <v>39.91586938</v>
      </c>
      <c r="E11" s="26">
        <v>222736.59646100015</v>
      </c>
      <c r="F11" s="31">
        <f t="shared" si="2"/>
        <v>40.01083742</v>
      </c>
      <c r="G11" s="26">
        <v>344665.6135080004</v>
      </c>
      <c r="H11" s="31">
        <f t="shared" si="3"/>
        <v>61.91330946</v>
      </c>
      <c r="I11" s="26">
        <v>1496049.0</v>
      </c>
      <c r="J11" s="26">
        <v>1277366.0</v>
      </c>
      <c r="K11" s="31">
        <f t="shared" si="4"/>
        <v>85.38263118</v>
      </c>
      <c r="L11" s="26">
        <v>158661.0</v>
      </c>
      <c r="M11" s="31">
        <f t="shared" si="5"/>
        <v>12.42095061</v>
      </c>
      <c r="N11" s="26">
        <v>1138648.0</v>
      </c>
      <c r="O11" s="31">
        <f t="shared" si="6"/>
        <v>89.14030904</v>
      </c>
    </row>
    <row r="12">
      <c r="A12" s="25" t="s">
        <v>43</v>
      </c>
      <c r="B12" s="26">
        <f>'Estimated Totals'!D10</f>
        <v>4063052</v>
      </c>
      <c r="C12" s="26">
        <v>2001305.974559997</v>
      </c>
      <c r="D12" s="31">
        <f t="shared" si="1"/>
        <v>49.25622351</v>
      </c>
      <c r="E12" s="26">
        <v>677748.1976399998</v>
      </c>
      <c r="F12" s="31">
        <f t="shared" si="2"/>
        <v>33.86529627</v>
      </c>
      <c r="G12" s="26">
        <v>1418816.8974899983</v>
      </c>
      <c r="H12" s="31">
        <f t="shared" si="3"/>
        <v>70.89455163</v>
      </c>
      <c r="I12" s="26">
        <v>4389510.0</v>
      </c>
      <c r="J12" s="26">
        <v>3683268.0</v>
      </c>
      <c r="K12" s="31">
        <f t="shared" si="4"/>
        <v>83.91068707</v>
      </c>
      <c r="L12" s="26">
        <v>200746.0</v>
      </c>
      <c r="M12" s="31">
        <f t="shared" si="5"/>
        <v>5.450214321</v>
      </c>
      <c r="N12" s="26">
        <v>3482522.0</v>
      </c>
      <c r="O12" s="31">
        <f t="shared" si="6"/>
        <v>94.54978568</v>
      </c>
    </row>
    <row r="13">
      <c r="A13" s="25" t="s">
        <v>44</v>
      </c>
      <c r="B13" s="26">
        <f>'Estimated Totals'!D11</f>
        <v>2820240</v>
      </c>
      <c r="C13" s="26">
        <v>1344522.4368019975</v>
      </c>
      <c r="D13" s="31">
        <f t="shared" si="1"/>
        <v>47.67404323</v>
      </c>
      <c r="E13" s="26">
        <v>574121.1670750006</v>
      </c>
      <c r="F13" s="31">
        <f t="shared" si="2"/>
        <v>42.7007502</v>
      </c>
      <c r="G13" s="26">
        <v>832935.1593770004</v>
      </c>
      <c r="H13" s="31">
        <f t="shared" si="3"/>
        <v>61.95026104</v>
      </c>
      <c r="I13" s="26">
        <v>3055894.0</v>
      </c>
      <c r="J13" s="26">
        <v>2451050.0</v>
      </c>
      <c r="K13" s="31">
        <f t="shared" si="4"/>
        <v>80.20729777</v>
      </c>
      <c r="L13" s="26">
        <v>201403.0</v>
      </c>
      <c r="M13" s="31">
        <f t="shared" si="5"/>
        <v>8.217009037</v>
      </c>
      <c r="N13" s="26">
        <v>2260260.0</v>
      </c>
      <c r="O13" s="31">
        <f t="shared" si="6"/>
        <v>92.21598907</v>
      </c>
    </row>
    <row r="14">
      <c r="A14" s="25" t="s">
        <v>46</v>
      </c>
      <c r="B14" s="26">
        <f>'Estimated Totals'!D12</f>
        <v>9585315</v>
      </c>
      <c r="C14" s="26">
        <v>4847012.423680007</v>
      </c>
      <c r="D14" s="31">
        <f t="shared" si="1"/>
        <v>50.56706455</v>
      </c>
      <c r="E14" s="26">
        <v>1388040.775769997</v>
      </c>
      <c r="F14" s="31">
        <f t="shared" si="2"/>
        <v>28.63703771</v>
      </c>
      <c r="G14" s="26">
        <v>3593231.3341400055</v>
      </c>
      <c r="H14" s="31">
        <f t="shared" si="3"/>
        <v>74.13290951</v>
      </c>
      <c r="I14" s="26">
        <v>1.070829E7</v>
      </c>
      <c r="J14" s="26">
        <v>9021916.0</v>
      </c>
      <c r="K14" s="31">
        <f t="shared" si="4"/>
        <v>84.25169658</v>
      </c>
      <c r="L14" s="26">
        <v>432819.0</v>
      </c>
      <c r="M14" s="31">
        <f t="shared" si="5"/>
        <v>4.797417755</v>
      </c>
      <c r="N14" s="26">
        <v>8610854.0</v>
      </c>
      <c r="O14" s="31">
        <f t="shared" si="6"/>
        <v>95.44373945</v>
      </c>
    </row>
    <row r="15">
      <c r="A15" s="25" t="s">
        <v>48</v>
      </c>
      <c r="B15" s="26">
        <f>'Estimated Totals'!D13</f>
        <v>12457452</v>
      </c>
      <c r="C15" s="26">
        <v>5566196.865359998</v>
      </c>
      <c r="D15" s="31">
        <f t="shared" si="1"/>
        <v>44.68166416</v>
      </c>
      <c r="E15" s="26">
        <v>1161361.4077599994</v>
      </c>
      <c r="F15" s="31">
        <f t="shared" si="2"/>
        <v>20.86454065</v>
      </c>
      <c r="G15" s="26">
        <v>4538133.3085</v>
      </c>
      <c r="H15" s="31">
        <f t="shared" si="3"/>
        <v>81.53023363</v>
      </c>
      <c r="I15" s="26">
        <v>1.3985526E7</v>
      </c>
      <c r="J15" s="26">
        <v>1.2081369E7</v>
      </c>
      <c r="K15" s="31">
        <f t="shared" si="4"/>
        <v>86.3848024</v>
      </c>
      <c r="L15" s="26">
        <v>565208.0</v>
      </c>
      <c r="M15" s="31">
        <f t="shared" si="5"/>
        <v>4.678343986</v>
      </c>
      <c r="N15" s="26">
        <v>1.1574712E7</v>
      </c>
      <c r="O15" s="31">
        <f t="shared" si="6"/>
        <v>95.8062948</v>
      </c>
    </row>
    <row r="16">
      <c r="A16" s="25" t="s">
        <v>50</v>
      </c>
      <c r="B16" s="26">
        <f>'Estimated Totals'!D14</f>
        <v>2347582</v>
      </c>
      <c r="C16" s="26">
        <v>761294.4476000007</v>
      </c>
      <c r="D16" s="31">
        <f t="shared" si="1"/>
        <v>32.42887565</v>
      </c>
      <c r="E16" s="26">
        <v>291383.6191400002</v>
      </c>
      <c r="F16" s="31">
        <f t="shared" si="2"/>
        <v>38.27475953</v>
      </c>
      <c r="G16" s="26">
        <v>506241.6482200005</v>
      </c>
      <c r="H16" s="31">
        <f t="shared" si="3"/>
        <v>66.49748331</v>
      </c>
      <c r="I16" s="26">
        <v>2538126.0</v>
      </c>
      <c r="J16" s="26">
        <v>1900349.0</v>
      </c>
      <c r="K16" s="31">
        <f t="shared" si="4"/>
        <v>74.87213007</v>
      </c>
      <c r="L16" s="26">
        <v>152671.0</v>
      </c>
      <c r="M16" s="31">
        <f t="shared" si="5"/>
        <v>8.0338401</v>
      </c>
      <c r="N16" s="26">
        <v>1757178.0</v>
      </c>
      <c r="O16" s="31">
        <f t="shared" si="6"/>
        <v>92.46606807</v>
      </c>
    </row>
    <row r="17">
      <c r="A17" s="25" t="s">
        <v>51</v>
      </c>
      <c r="B17" s="26">
        <f>'Estimated Totals'!D15</f>
        <v>4528646</v>
      </c>
      <c r="C17" s="26">
        <v>1690938.740051001</v>
      </c>
      <c r="D17" s="31">
        <f t="shared" si="1"/>
        <v>37.33872641</v>
      </c>
      <c r="E17" s="26">
        <v>522906.83027000027</v>
      </c>
      <c r="F17" s="31">
        <f t="shared" si="2"/>
        <v>30.92405525</v>
      </c>
      <c r="G17" s="26">
        <v>1194218.4837509987</v>
      </c>
      <c r="H17" s="31">
        <f t="shared" si="3"/>
        <v>70.62458595</v>
      </c>
      <c r="I17" s="26">
        <v>4884805.0</v>
      </c>
      <c r="J17" s="26">
        <v>3577241.0</v>
      </c>
      <c r="K17" s="31">
        <f t="shared" si="4"/>
        <v>73.23201233</v>
      </c>
      <c r="L17" s="26">
        <v>204844.0</v>
      </c>
      <c r="M17" s="31">
        <f t="shared" si="5"/>
        <v>5.726312541</v>
      </c>
      <c r="N17" s="26">
        <v>3404672.0</v>
      </c>
      <c r="O17" s="31">
        <f t="shared" si="6"/>
        <v>95.1759191</v>
      </c>
    </row>
    <row r="18">
      <c r="A18" s="25" t="s">
        <v>53</v>
      </c>
      <c r="B18" s="26">
        <f>'Estimated Totals'!D16</f>
        <v>6087553</v>
      </c>
      <c r="C18" s="26">
        <v>2159752.0277600014</v>
      </c>
      <c r="D18" s="31">
        <f t="shared" si="1"/>
        <v>35.47816385</v>
      </c>
      <c r="E18" s="26">
        <v>722128.0726899998</v>
      </c>
      <c r="F18" s="31">
        <f t="shared" si="2"/>
        <v>33.4356937</v>
      </c>
      <c r="G18" s="26">
        <v>1517000.4222000015</v>
      </c>
      <c r="H18" s="31">
        <f t="shared" si="3"/>
        <v>70.23956467</v>
      </c>
      <c r="I18" s="26">
        <v>6586874.0</v>
      </c>
      <c r="J18" s="26">
        <v>4990093.0</v>
      </c>
      <c r="K18" s="31">
        <f t="shared" si="4"/>
        <v>75.75813656</v>
      </c>
      <c r="L18" s="26">
        <v>389379.0</v>
      </c>
      <c r="M18" s="31">
        <f t="shared" si="5"/>
        <v>7.803040945</v>
      </c>
      <c r="N18" s="26">
        <v>4622547.0</v>
      </c>
      <c r="O18" s="31">
        <f t="shared" si="6"/>
        <v>92.63448597</v>
      </c>
    </row>
    <row r="19">
      <c r="A19" s="25" t="s">
        <v>54</v>
      </c>
      <c r="B19" s="26">
        <f>'Estimated Totals'!D17</f>
        <v>6058752</v>
      </c>
      <c r="C19" s="26">
        <v>1476407.17222</v>
      </c>
      <c r="D19" s="31">
        <f t="shared" si="1"/>
        <v>24.36817305</v>
      </c>
      <c r="E19" s="26">
        <v>703079.31095</v>
      </c>
      <c r="F19" s="31">
        <f t="shared" si="2"/>
        <v>47.62096285</v>
      </c>
      <c r="G19" s="26">
        <v>834318.7775300004</v>
      </c>
      <c r="H19" s="31">
        <f t="shared" si="3"/>
        <v>56.51007346</v>
      </c>
      <c r="I19" s="26">
        <v>6668940.0</v>
      </c>
      <c r="J19" s="26">
        <v>5296648.0</v>
      </c>
      <c r="K19" s="31">
        <f t="shared" si="4"/>
        <v>79.42263688</v>
      </c>
      <c r="L19" s="26">
        <v>440263.0</v>
      </c>
      <c r="M19" s="31">
        <f t="shared" si="5"/>
        <v>8.312106072</v>
      </c>
      <c r="N19" s="26">
        <v>4895590.0</v>
      </c>
      <c r="O19" s="31">
        <f t="shared" si="6"/>
        <v>92.42807904</v>
      </c>
    </row>
    <row r="20">
      <c r="A20" s="25" t="s">
        <v>56</v>
      </c>
      <c r="B20" s="26">
        <f>'Estimated Totals'!D18</f>
        <v>3529248</v>
      </c>
      <c r="C20" s="26">
        <v>1318328.5092820006</v>
      </c>
      <c r="D20" s="31">
        <f t="shared" si="1"/>
        <v>37.35437434</v>
      </c>
      <c r="E20" s="26">
        <v>432071.5763939997</v>
      </c>
      <c r="F20" s="31">
        <f t="shared" si="2"/>
        <v>32.77419652</v>
      </c>
      <c r="G20" s="26">
        <v>917823.4753360001</v>
      </c>
      <c r="H20" s="31">
        <f t="shared" si="3"/>
        <v>69.62024024</v>
      </c>
      <c r="I20" s="26">
        <v>3864215.0</v>
      </c>
      <c r="J20" s="26">
        <v>2705948.0</v>
      </c>
      <c r="K20" s="31">
        <f t="shared" si="4"/>
        <v>70.02581378</v>
      </c>
      <c r="L20" s="26">
        <v>193374.0</v>
      </c>
      <c r="M20" s="31">
        <f t="shared" si="5"/>
        <v>7.14625706</v>
      </c>
      <c r="N20" s="26">
        <v>2524972.0</v>
      </c>
      <c r="O20" s="31">
        <f t="shared" si="6"/>
        <v>93.31191878</v>
      </c>
    </row>
    <row r="21" ht="15.75" customHeight="1">
      <c r="A21" s="25" t="s">
        <v>57</v>
      </c>
      <c r="B21" s="26">
        <f>'Estimated Totals'!D19</f>
        <v>2856878</v>
      </c>
      <c r="C21" s="26">
        <v>1006133.0831999996</v>
      </c>
      <c r="D21" s="31">
        <f t="shared" si="1"/>
        <v>35.21792261</v>
      </c>
      <c r="E21" s="26">
        <v>500040.4763999997</v>
      </c>
      <c r="F21" s="31">
        <f t="shared" si="2"/>
        <v>49.69923808</v>
      </c>
      <c r="G21" s="26">
        <v>528852.3270699999</v>
      </c>
      <c r="H21" s="31">
        <f t="shared" si="3"/>
        <v>52.56286031</v>
      </c>
      <c r="I21" s="26">
        <v>3062611.0</v>
      </c>
      <c r="J21" s="26">
        <v>2015545.0</v>
      </c>
      <c r="K21" s="31">
        <f t="shared" si="4"/>
        <v>65.81132896</v>
      </c>
      <c r="L21" s="26">
        <v>396976.0</v>
      </c>
      <c r="M21" s="31">
        <f t="shared" si="5"/>
        <v>19.69571505</v>
      </c>
      <c r="N21" s="26">
        <v>1626733.0</v>
      </c>
      <c r="O21" s="31">
        <f t="shared" si="6"/>
        <v>80.70933668</v>
      </c>
    </row>
    <row r="22" ht="15.75" customHeight="1">
      <c r="A22" s="25" t="s">
        <v>59</v>
      </c>
      <c r="B22" s="26">
        <f>'Estimated Totals'!D20</f>
        <v>3802692</v>
      </c>
      <c r="C22" s="26">
        <v>1074014.7105700013</v>
      </c>
      <c r="D22" s="31">
        <f t="shared" si="1"/>
        <v>28.2435367</v>
      </c>
      <c r="E22" s="26">
        <v>456658.25285</v>
      </c>
      <c r="F22" s="31">
        <f t="shared" si="2"/>
        <v>42.51880802</v>
      </c>
      <c r="G22" s="26">
        <v>649763.6573599996</v>
      </c>
      <c r="H22" s="31">
        <f t="shared" si="3"/>
        <v>60.49858079</v>
      </c>
      <c r="I22" s="26">
        <v>4175626.0</v>
      </c>
      <c r="J22" s="26">
        <v>3194211.0</v>
      </c>
      <c r="K22" s="31">
        <f t="shared" si="4"/>
        <v>76.496578</v>
      </c>
      <c r="L22" s="26">
        <v>413880.0</v>
      </c>
      <c r="M22" s="31">
        <f t="shared" si="5"/>
        <v>12.95719037</v>
      </c>
      <c r="N22" s="26">
        <v>2809912.0</v>
      </c>
      <c r="O22" s="31">
        <f t="shared" si="6"/>
        <v>87.96889122</v>
      </c>
    </row>
    <row r="23" ht="15.75" customHeight="1">
      <c r="A23" s="25" t="s">
        <v>60</v>
      </c>
      <c r="B23" s="26">
        <f>'Estimated Totals'!D21</f>
        <v>4022390</v>
      </c>
      <c r="C23" s="26">
        <v>1530216.8257800012</v>
      </c>
      <c r="D23" s="31">
        <f t="shared" si="1"/>
        <v>38.04247787</v>
      </c>
      <c r="E23" s="26">
        <v>660816.2254500004</v>
      </c>
      <c r="F23" s="31">
        <f t="shared" si="2"/>
        <v>43.18448303</v>
      </c>
      <c r="G23" s="26">
        <v>909012.9099400002</v>
      </c>
      <c r="H23" s="31">
        <f t="shared" si="3"/>
        <v>59.40418996</v>
      </c>
      <c r="I23" s="26">
        <v>4443602.0</v>
      </c>
      <c r="J23" s="26">
        <v>3027664.0</v>
      </c>
      <c r="K23" s="31">
        <f t="shared" si="4"/>
        <v>68.13535506</v>
      </c>
      <c r="L23" s="26">
        <v>330636.0</v>
      </c>
      <c r="M23" s="31">
        <f t="shared" si="5"/>
        <v>10.92049844</v>
      </c>
      <c r="N23" s="26">
        <v>2713554.0</v>
      </c>
      <c r="O23" s="31">
        <f t="shared" si="6"/>
        <v>89.62533491</v>
      </c>
    </row>
    <row r="24" ht="15.75" customHeight="1">
      <c r="A24" s="25" t="s">
        <v>63</v>
      </c>
      <c r="B24" s="26">
        <f>'Estimated Totals'!D22</f>
        <v>3705981</v>
      </c>
      <c r="C24" s="26">
        <v>1405098.9648899997</v>
      </c>
      <c r="D24" s="31">
        <f t="shared" si="1"/>
        <v>37.91435965</v>
      </c>
      <c r="E24" s="26">
        <v>656169.4350099997</v>
      </c>
      <c r="F24" s="31">
        <f t="shared" si="2"/>
        <v>46.69916151</v>
      </c>
      <c r="G24" s="26">
        <v>791088.4775300003</v>
      </c>
      <c r="H24" s="31">
        <f t="shared" si="3"/>
        <v>56.30126399</v>
      </c>
      <c r="I24" s="26">
        <v>3636167.0</v>
      </c>
      <c r="J24" s="26">
        <v>2412216.0</v>
      </c>
      <c r="K24" s="31">
        <f t="shared" si="4"/>
        <v>66.33952731</v>
      </c>
      <c r="L24" s="26">
        <v>324557.0</v>
      </c>
      <c r="M24" s="31">
        <f t="shared" si="5"/>
        <v>13.45472379</v>
      </c>
      <c r="N24" s="26">
        <v>2111740.0</v>
      </c>
      <c r="O24" s="31">
        <f t="shared" si="6"/>
        <v>87.5435699</v>
      </c>
    </row>
    <row r="25" ht="15.75" customHeight="1">
      <c r="A25" s="25" t="s">
        <v>64</v>
      </c>
      <c r="B25" s="26">
        <f>'Estimated Totals'!D23</f>
        <v>2050203</v>
      </c>
      <c r="C25" s="26">
        <v>809034.2133300005</v>
      </c>
      <c r="D25" s="31">
        <f t="shared" si="1"/>
        <v>39.46117596</v>
      </c>
      <c r="E25" s="26">
        <v>408242.88463000004</v>
      </c>
      <c r="F25" s="31">
        <f t="shared" si="2"/>
        <v>50.46052168</v>
      </c>
      <c r="G25" s="26">
        <v>432282.73021999985</v>
      </c>
      <c r="H25" s="31">
        <f t="shared" si="3"/>
        <v>53.43194677</v>
      </c>
      <c r="I25" s="26">
        <v>2220907.0</v>
      </c>
      <c r="J25" s="26">
        <v>1705365.0</v>
      </c>
      <c r="K25" s="31">
        <f t="shared" si="4"/>
        <v>76.78687131</v>
      </c>
      <c r="L25" s="26">
        <v>167399.0</v>
      </c>
      <c r="M25" s="31">
        <f t="shared" si="5"/>
        <v>9.81602179</v>
      </c>
      <c r="N25" s="26">
        <v>1570909.0</v>
      </c>
      <c r="O25" s="31">
        <f t="shared" si="6"/>
        <v>92.11570544</v>
      </c>
    </row>
    <row r="26" ht="15.75" customHeight="1">
      <c r="A26" s="25" t="s">
        <v>65</v>
      </c>
      <c r="B26" s="26">
        <f>'Estimated Totals'!D24</f>
        <v>2943119</v>
      </c>
      <c r="C26" s="26">
        <v>779688.7590879999</v>
      </c>
      <c r="D26" s="31">
        <f t="shared" si="1"/>
        <v>26.49192095</v>
      </c>
      <c r="E26" s="26">
        <v>569733.0383599995</v>
      </c>
      <c r="F26" s="31">
        <f t="shared" si="2"/>
        <v>73.07185485</v>
      </c>
      <c r="G26" s="26">
        <v>211031.81230799982</v>
      </c>
      <c r="H26" s="31">
        <f t="shared" si="3"/>
        <v>27.06616068</v>
      </c>
      <c r="I26" s="26">
        <v>3746618.0</v>
      </c>
      <c r="J26" s="26">
        <v>2608489.0</v>
      </c>
      <c r="K26" s="31">
        <f t="shared" si="4"/>
        <v>69.62249688</v>
      </c>
      <c r="L26" s="26">
        <v>787402.0</v>
      </c>
      <c r="M26" s="31">
        <f t="shared" si="5"/>
        <v>30.18613458</v>
      </c>
      <c r="N26" s="26">
        <v>1848389.0</v>
      </c>
      <c r="O26" s="31">
        <f t="shared" si="6"/>
        <v>70.860525</v>
      </c>
    </row>
    <row r="27" ht="15.75" customHeight="1">
      <c r="A27" s="28"/>
      <c r="B27" s="28"/>
      <c r="C27" s="28"/>
      <c r="D27" s="28"/>
      <c r="E27" s="28"/>
      <c r="F27" s="28"/>
      <c r="G27" s="28"/>
      <c r="H27" s="28"/>
      <c r="I27" s="28"/>
      <c r="J27" s="28"/>
      <c r="K27" s="28"/>
      <c r="L27" s="28"/>
      <c r="M27" s="28"/>
      <c r="N27" s="28"/>
      <c r="O27" s="28"/>
    </row>
    <row r="28" ht="15.75" customHeight="1">
      <c r="A28" s="9"/>
      <c r="B28" s="9"/>
      <c r="C28" s="9"/>
      <c r="D28" s="9"/>
      <c r="E28" s="9"/>
      <c r="F28" s="9"/>
      <c r="G28" s="9"/>
      <c r="H28" s="9"/>
      <c r="I28" s="9"/>
      <c r="J28" s="9"/>
      <c r="K28" s="9"/>
    </row>
    <row r="29" ht="15.75" customHeight="1">
      <c r="A29" s="29" t="s">
        <v>69</v>
      </c>
      <c r="B29" s="29"/>
      <c r="C29" s="29"/>
      <c r="D29" s="29"/>
      <c r="E29" s="29"/>
      <c r="F29" s="29"/>
      <c r="G29" s="29"/>
      <c r="H29" s="29"/>
      <c r="I29" s="29"/>
      <c r="J29" s="29"/>
      <c r="K29" s="29"/>
      <c r="L29" s="29"/>
      <c r="M29" s="29"/>
      <c r="N29" s="30"/>
      <c r="O29" s="30"/>
    </row>
    <row r="30" ht="15.75" customHeight="1">
      <c r="A30" s="29" t="s">
        <v>72</v>
      </c>
      <c r="B30" s="29"/>
      <c r="C30" s="29"/>
      <c r="D30" s="29"/>
      <c r="E30" s="29"/>
      <c r="F30" s="29"/>
      <c r="G30" s="29"/>
      <c r="H30" s="29"/>
      <c r="I30" s="29"/>
      <c r="J30" s="29"/>
      <c r="K30" s="29"/>
      <c r="L30" s="29"/>
      <c r="M30" s="29"/>
      <c r="N30" s="30"/>
      <c r="O30" s="30"/>
    </row>
    <row r="31" ht="15.75" customHeight="1">
      <c r="A31" s="29" t="s">
        <v>156</v>
      </c>
      <c r="B31" s="29"/>
      <c r="C31" s="29"/>
      <c r="D31" s="29"/>
      <c r="E31" s="29"/>
      <c r="F31" s="29"/>
      <c r="G31" s="29"/>
      <c r="H31" s="29"/>
      <c r="I31" s="29"/>
      <c r="J31" s="29"/>
      <c r="K31" s="29"/>
      <c r="L31" s="29"/>
      <c r="M31" s="29"/>
      <c r="N31" s="30"/>
      <c r="O31" s="30"/>
    </row>
    <row r="32" ht="15.75" customHeight="1">
      <c r="A32" s="29" t="s">
        <v>157</v>
      </c>
      <c r="B32" s="29"/>
      <c r="C32" s="29"/>
      <c r="D32" s="29"/>
      <c r="E32" s="29"/>
      <c r="F32" s="29"/>
      <c r="G32" s="29"/>
      <c r="H32" s="29"/>
      <c r="I32" s="29"/>
      <c r="J32" s="29"/>
      <c r="K32" s="29"/>
      <c r="L32" s="29"/>
      <c r="M32" s="29"/>
      <c r="N32" s="30"/>
      <c r="O32" s="30"/>
    </row>
    <row r="33" ht="15.75" customHeight="1">
      <c r="A33" s="32" t="s">
        <v>76</v>
      </c>
    </row>
    <row r="34" ht="15.75" customHeight="1">
      <c r="A34" s="32"/>
    </row>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5">
    <mergeCell ref="E5:H5"/>
    <mergeCell ref="L5:O5"/>
    <mergeCell ref="E6:F6"/>
    <mergeCell ref="G6:H6"/>
    <mergeCell ref="L6:M6"/>
    <mergeCell ref="N6:O6"/>
    <mergeCell ref="A33:O33"/>
    <mergeCell ref="A34:O34"/>
    <mergeCell ref="A4:A7"/>
    <mergeCell ref="B4:H4"/>
    <mergeCell ref="I4:O4"/>
    <mergeCell ref="B5:B7"/>
    <mergeCell ref="C5:D6"/>
    <mergeCell ref="I5:I7"/>
    <mergeCell ref="J5:K6"/>
  </mergeCells>
  <hyperlinks>
    <hyperlink display="BACK TO LIST" location="LIST!A1" ref="A1"/>
  </hyperlinks>
  <printOptions/>
  <pageMargins bottom="0.75" footer="0.0" header="0.0" left="0.7" right="0.7" top="0.75"/>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9"/>
    <pageSetUpPr/>
  </sheetPr>
  <sheetViews>
    <sheetView workbookViewId="0"/>
  </sheetViews>
  <sheetFormatPr customHeight="1" defaultColWidth="12.63" defaultRowHeight="15.0"/>
  <cols>
    <col customWidth="1" min="1" max="1" width="39.0"/>
    <col customWidth="1" min="2" max="11" width="14.0"/>
    <col customWidth="1" min="12" max="26" width="8.63"/>
  </cols>
  <sheetData>
    <row r="1">
      <c r="A1" s="5" t="s">
        <v>1</v>
      </c>
      <c r="B1" s="5"/>
      <c r="C1" s="5"/>
      <c r="D1" s="5"/>
      <c r="E1" s="5"/>
      <c r="F1" s="5"/>
    </row>
    <row r="2" ht="15.0" customHeight="1">
      <c r="A2" s="6" t="s">
        <v>153</v>
      </c>
      <c r="B2" s="6"/>
      <c r="C2" s="6"/>
      <c r="D2" s="6"/>
      <c r="E2" s="6"/>
      <c r="F2" s="6"/>
      <c r="G2" s="7"/>
      <c r="H2" s="7"/>
      <c r="I2" s="7"/>
    </row>
    <row r="3">
      <c r="A3" s="8"/>
      <c r="B3" s="8"/>
      <c r="C3" s="8"/>
      <c r="D3" s="8"/>
      <c r="E3" s="8"/>
      <c r="F3" s="8"/>
      <c r="G3" s="9"/>
      <c r="H3" s="9"/>
      <c r="I3" s="9"/>
    </row>
    <row r="4">
      <c r="A4" s="10" t="s">
        <v>13</v>
      </c>
      <c r="B4" s="12">
        <v>2019.0</v>
      </c>
      <c r="C4" s="14"/>
      <c r="D4" s="14"/>
      <c r="E4" s="14"/>
      <c r="F4" s="15"/>
      <c r="G4" s="12">
        <v>2024.0</v>
      </c>
      <c r="H4" s="14"/>
      <c r="I4" s="14"/>
      <c r="J4" s="14"/>
      <c r="K4" s="15"/>
    </row>
    <row r="5" ht="15.0" customHeight="1">
      <c r="A5" s="17"/>
      <c r="B5" s="21" t="s">
        <v>147</v>
      </c>
      <c r="C5" s="13" t="s">
        <v>154</v>
      </c>
      <c r="D5" s="15"/>
      <c r="E5" s="13" t="s">
        <v>155</v>
      </c>
      <c r="F5" s="15"/>
      <c r="G5" s="21" t="s">
        <v>147</v>
      </c>
      <c r="H5" s="13" t="s">
        <v>154</v>
      </c>
      <c r="I5" s="15"/>
      <c r="J5" s="13" t="s">
        <v>155</v>
      </c>
      <c r="K5" s="15"/>
    </row>
    <row r="6">
      <c r="A6" s="18"/>
      <c r="B6" s="18"/>
      <c r="C6" s="24" t="s">
        <v>37</v>
      </c>
      <c r="D6" s="24" t="s">
        <v>39</v>
      </c>
      <c r="E6" s="24" t="s">
        <v>37</v>
      </c>
      <c r="F6" s="24" t="s">
        <v>39</v>
      </c>
      <c r="G6" s="18"/>
      <c r="H6" s="24" t="s">
        <v>37</v>
      </c>
      <c r="I6" s="24" t="s">
        <v>39</v>
      </c>
      <c r="J6" s="24" t="s">
        <v>37</v>
      </c>
      <c r="K6" s="24" t="s">
        <v>39</v>
      </c>
    </row>
    <row r="7">
      <c r="A7" s="16"/>
      <c r="B7" s="16"/>
      <c r="C7" s="16"/>
      <c r="D7" s="16"/>
      <c r="E7" s="16"/>
      <c r="F7" s="16"/>
      <c r="G7" s="20"/>
      <c r="H7" s="20"/>
      <c r="I7" s="20"/>
      <c r="J7" s="20"/>
      <c r="K7" s="20"/>
    </row>
    <row r="8">
      <c r="A8" s="22" t="s">
        <v>33</v>
      </c>
      <c r="B8" s="23">
        <f>i_C8!C9</f>
        <v>33940106.36</v>
      </c>
      <c r="C8" s="23">
        <v>3.3189994800619982E7</v>
      </c>
      <c r="D8" s="27">
        <f t="shared" ref="D8:D25" si="1">(C8/$B8)*100</f>
        <v>97.78989627</v>
      </c>
      <c r="E8" s="23">
        <v>818864.672049</v>
      </c>
      <c r="F8" s="27">
        <f t="shared" ref="F8:F25" si="2">(E8/$B8)*100</f>
        <v>2.412675622</v>
      </c>
      <c r="G8" s="23">
        <v>7.2873415E7</v>
      </c>
      <c r="H8" s="23">
        <v>7.0966582E7</v>
      </c>
      <c r="I8" s="27">
        <f t="shared" ref="I8:I25" si="3">(H8/$G8)*100</f>
        <v>97.38336264</v>
      </c>
      <c r="J8" s="23">
        <v>2257234.0</v>
      </c>
      <c r="K8" s="27">
        <f t="shared" ref="K8:K25" si="4">(J8/$G8)*100</f>
        <v>3.097472514</v>
      </c>
      <c r="L8" s="41"/>
    </row>
    <row r="9">
      <c r="A9" s="25" t="s">
        <v>38</v>
      </c>
      <c r="B9" s="26">
        <f>i_C8!C10</f>
        <v>5613470.537</v>
      </c>
      <c r="C9" s="26">
        <v>5355014.798214984</v>
      </c>
      <c r="D9" s="31">
        <f t="shared" si="1"/>
        <v>95.39579415</v>
      </c>
      <c r="E9" s="26">
        <v>263894.88968</v>
      </c>
      <c r="F9" s="31">
        <f t="shared" si="2"/>
        <v>4.701100468</v>
      </c>
      <c r="G9" s="26">
        <v>1.0924677E7</v>
      </c>
      <c r="H9" s="26">
        <v>1.0594051E7</v>
      </c>
      <c r="I9" s="31">
        <f t="shared" si="3"/>
        <v>96.97358558</v>
      </c>
      <c r="J9" s="26">
        <v>436615.0</v>
      </c>
      <c r="K9" s="31">
        <f t="shared" si="4"/>
        <v>3.996594133</v>
      </c>
      <c r="L9" s="41"/>
    </row>
    <row r="10">
      <c r="A10" s="25" t="s">
        <v>41</v>
      </c>
      <c r="B10" s="26">
        <f>i_C8!C11</f>
        <v>556690.6639</v>
      </c>
      <c r="C10" s="26">
        <v>554273.8531370005</v>
      </c>
      <c r="D10" s="31">
        <f t="shared" si="1"/>
        <v>99.56586109</v>
      </c>
      <c r="E10" s="26">
        <v>2580.5649280000002</v>
      </c>
      <c r="F10" s="31">
        <f t="shared" si="2"/>
        <v>0.4635545546</v>
      </c>
      <c r="G10" s="26">
        <v>1277366.0</v>
      </c>
      <c r="H10" s="26">
        <v>1226462.0</v>
      </c>
      <c r="I10" s="31">
        <f t="shared" si="3"/>
        <v>96.01492446</v>
      </c>
      <c r="J10" s="26">
        <v>57996.0</v>
      </c>
      <c r="K10" s="31">
        <f t="shared" si="4"/>
        <v>4.540280546</v>
      </c>
      <c r="L10" s="41"/>
    </row>
    <row r="11">
      <c r="A11" s="25" t="s">
        <v>43</v>
      </c>
      <c r="B11" s="26">
        <f>i_C8!C12</f>
        <v>2001305.975</v>
      </c>
      <c r="C11" s="26">
        <v>1966006.1834800008</v>
      </c>
      <c r="D11" s="31">
        <f t="shared" si="1"/>
        <v>98.23616221</v>
      </c>
      <c r="E11" s="26">
        <v>39298.321330000006</v>
      </c>
      <c r="F11" s="31">
        <f t="shared" si="2"/>
        <v>1.963633839</v>
      </c>
      <c r="G11" s="26">
        <v>3683268.0</v>
      </c>
      <c r="H11" s="26">
        <v>3518329.0</v>
      </c>
      <c r="I11" s="31">
        <f t="shared" si="3"/>
        <v>95.52193867</v>
      </c>
      <c r="J11" s="26">
        <v>168734.0</v>
      </c>
      <c r="K11" s="31">
        <f t="shared" si="4"/>
        <v>4.581094832</v>
      </c>
      <c r="L11" s="41"/>
    </row>
    <row r="12">
      <c r="A12" s="25" t="s">
        <v>44</v>
      </c>
      <c r="B12" s="26">
        <f>i_C8!C13</f>
        <v>1344522.437</v>
      </c>
      <c r="C12" s="26">
        <v>1334417.0634520005</v>
      </c>
      <c r="D12" s="31">
        <f t="shared" si="1"/>
        <v>99.24840426</v>
      </c>
      <c r="E12" s="26">
        <v>18682.304619999995</v>
      </c>
      <c r="F12" s="31">
        <f t="shared" si="2"/>
        <v>1.389512299</v>
      </c>
      <c r="G12" s="26">
        <v>2451050.0</v>
      </c>
      <c r="H12" s="26">
        <v>2440210.0</v>
      </c>
      <c r="I12" s="31">
        <f t="shared" si="3"/>
        <v>99.55774056</v>
      </c>
      <c r="J12" s="26">
        <v>15419.0</v>
      </c>
      <c r="K12" s="31">
        <f t="shared" si="4"/>
        <v>0.6290773342</v>
      </c>
      <c r="L12" s="41"/>
    </row>
    <row r="13">
      <c r="A13" s="25" t="s">
        <v>46</v>
      </c>
      <c r="B13" s="26">
        <f>i_C8!C14</f>
        <v>4847012.424</v>
      </c>
      <c r="C13" s="26">
        <v>4765111.8226</v>
      </c>
      <c r="D13" s="31">
        <f t="shared" si="1"/>
        <v>98.31028696</v>
      </c>
      <c r="E13" s="26">
        <v>88332.68408</v>
      </c>
      <c r="F13" s="31">
        <f t="shared" si="2"/>
        <v>1.822415054</v>
      </c>
      <c r="G13" s="26">
        <v>9021916.0</v>
      </c>
      <c r="H13" s="26">
        <v>8721921.0</v>
      </c>
      <c r="I13" s="31">
        <f t="shared" si="3"/>
        <v>96.67481941</v>
      </c>
      <c r="J13" s="26">
        <v>330842.0</v>
      </c>
      <c r="K13" s="31">
        <f t="shared" si="4"/>
        <v>3.667092445</v>
      </c>
      <c r="L13" s="41"/>
    </row>
    <row r="14">
      <c r="A14" s="25" t="s">
        <v>48</v>
      </c>
      <c r="B14" s="26">
        <f>i_C8!C15</f>
        <v>5566196.865</v>
      </c>
      <c r="C14" s="26">
        <v>5405404.794029994</v>
      </c>
      <c r="D14" s="31">
        <f t="shared" si="1"/>
        <v>97.11127588</v>
      </c>
      <c r="E14" s="26">
        <v>173992.38083</v>
      </c>
      <c r="F14" s="31">
        <f t="shared" si="2"/>
        <v>3.125875441</v>
      </c>
      <c r="G14" s="26">
        <v>1.2081369E7</v>
      </c>
      <c r="H14" s="26">
        <v>1.1816558E7</v>
      </c>
      <c r="I14" s="31">
        <f t="shared" si="3"/>
        <v>97.80810436</v>
      </c>
      <c r="J14" s="26">
        <v>326586.0</v>
      </c>
      <c r="K14" s="31">
        <f t="shared" si="4"/>
        <v>2.70322014</v>
      </c>
      <c r="L14" s="41"/>
    </row>
    <row r="15">
      <c r="A15" s="25" t="s">
        <v>50</v>
      </c>
      <c r="B15" s="26">
        <f>i_C8!C16</f>
        <v>761294.4476</v>
      </c>
      <c r="C15" s="26">
        <v>756606.721999999</v>
      </c>
      <c r="D15" s="31">
        <f t="shared" si="1"/>
        <v>99.38424277</v>
      </c>
      <c r="E15" s="26">
        <v>7634.887699999999</v>
      </c>
      <c r="F15" s="31">
        <f t="shared" si="2"/>
        <v>1.002882357</v>
      </c>
      <c r="G15" s="26">
        <v>1900349.0</v>
      </c>
      <c r="H15" s="26">
        <v>1884654.0</v>
      </c>
      <c r="I15" s="31">
        <f t="shared" si="3"/>
        <v>99.17409907</v>
      </c>
      <c r="J15" s="26">
        <v>29388.0</v>
      </c>
      <c r="K15" s="31">
        <f t="shared" si="4"/>
        <v>1.546452783</v>
      </c>
      <c r="L15" s="41"/>
    </row>
    <row r="16">
      <c r="A16" s="25" t="s">
        <v>51</v>
      </c>
      <c r="B16" s="26">
        <f>i_C8!C17</f>
        <v>1690938.74</v>
      </c>
      <c r="C16" s="26">
        <v>1665837.4523810004</v>
      </c>
      <c r="D16" s="31">
        <f t="shared" si="1"/>
        <v>98.51554127</v>
      </c>
      <c r="E16" s="26">
        <v>17517.414230000002</v>
      </c>
      <c r="F16" s="31">
        <f t="shared" si="2"/>
        <v>1.035957945</v>
      </c>
      <c r="G16" s="26">
        <v>3577241.0</v>
      </c>
      <c r="H16" s="26">
        <v>3486357.0</v>
      </c>
      <c r="I16" s="31">
        <f t="shared" si="3"/>
        <v>97.4593828</v>
      </c>
      <c r="J16" s="26">
        <v>95944.0</v>
      </c>
      <c r="K16" s="31">
        <f t="shared" si="4"/>
        <v>2.68206699</v>
      </c>
      <c r="L16" s="41"/>
    </row>
    <row r="17">
      <c r="A17" s="25" t="s">
        <v>53</v>
      </c>
      <c r="B17" s="26">
        <f>i_C8!C18</f>
        <v>2159752.028</v>
      </c>
      <c r="C17" s="26">
        <v>2130834.390840001</v>
      </c>
      <c r="D17" s="31">
        <f t="shared" si="1"/>
        <v>98.6610668</v>
      </c>
      <c r="E17" s="26">
        <v>42559.780979999996</v>
      </c>
      <c r="F17" s="31">
        <f t="shared" si="2"/>
        <v>1.970586458</v>
      </c>
      <c r="G17" s="26">
        <v>4990093.0</v>
      </c>
      <c r="H17" s="26">
        <v>4828205.0</v>
      </c>
      <c r="I17" s="31">
        <f t="shared" si="3"/>
        <v>96.75581197</v>
      </c>
      <c r="J17" s="26">
        <v>178398.0</v>
      </c>
      <c r="K17" s="31">
        <f t="shared" si="4"/>
        <v>3.575043591</v>
      </c>
      <c r="L17" s="41"/>
    </row>
    <row r="18">
      <c r="A18" s="25" t="s">
        <v>54</v>
      </c>
      <c r="B18" s="26">
        <f>i_C8!C19</f>
        <v>1476407.172</v>
      </c>
      <c r="C18" s="26">
        <v>1454815.561109999</v>
      </c>
      <c r="D18" s="31">
        <f t="shared" si="1"/>
        <v>98.53755715</v>
      </c>
      <c r="E18" s="26">
        <v>21946.06239</v>
      </c>
      <c r="F18" s="31">
        <f t="shared" si="2"/>
        <v>1.48645054</v>
      </c>
      <c r="G18" s="26">
        <v>5296648.0</v>
      </c>
      <c r="H18" s="26">
        <v>5121217.0</v>
      </c>
      <c r="I18" s="31">
        <f t="shared" si="3"/>
        <v>96.68788638</v>
      </c>
      <c r="J18" s="26">
        <v>213237.0</v>
      </c>
      <c r="K18" s="31">
        <f t="shared" si="4"/>
        <v>4.025885806</v>
      </c>
      <c r="L18" s="41"/>
    </row>
    <row r="19">
      <c r="A19" s="25" t="s">
        <v>56</v>
      </c>
      <c r="B19" s="26">
        <f>i_C8!C20</f>
        <v>1318328.509</v>
      </c>
      <c r="C19" s="26">
        <v>1287336.0326149997</v>
      </c>
      <c r="D19" s="31">
        <f t="shared" si="1"/>
        <v>97.64910821</v>
      </c>
      <c r="E19" s="26">
        <v>36231.534263</v>
      </c>
      <c r="F19" s="31">
        <f t="shared" si="2"/>
        <v>2.748293313</v>
      </c>
      <c r="G19" s="26">
        <v>2705948.0</v>
      </c>
      <c r="H19" s="26">
        <v>2679128.0</v>
      </c>
      <c r="I19" s="31">
        <f t="shared" si="3"/>
        <v>99.00885013</v>
      </c>
      <c r="J19" s="26">
        <v>43261.0</v>
      </c>
      <c r="K19" s="31">
        <f t="shared" si="4"/>
        <v>1.5987373</v>
      </c>
      <c r="L19" s="41"/>
    </row>
    <row r="20">
      <c r="A20" s="25" t="s">
        <v>57</v>
      </c>
      <c r="B20" s="26">
        <f>i_C8!C21</f>
        <v>1006133.083</v>
      </c>
      <c r="C20" s="26">
        <v>1001125.5497100018</v>
      </c>
      <c r="D20" s="31">
        <f t="shared" si="1"/>
        <v>99.50229909</v>
      </c>
      <c r="E20" s="26">
        <v>6161.141519999999</v>
      </c>
      <c r="F20" s="31">
        <f t="shared" si="2"/>
        <v>0.6123585063</v>
      </c>
      <c r="G20" s="26">
        <v>2015545.0</v>
      </c>
      <c r="H20" s="26">
        <v>1873645.0</v>
      </c>
      <c r="I20" s="31">
        <f t="shared" si="3"/>
        <v>92.95972057</v>
      </c>
      <c r="J20" s="26">
        <v>143804.0</v>
      </c>
      <c r="K20" s="31">
        <f t="shared" si="4"/>
        <v>7.134745193</v>
      </c>
      <c r="L20" s="41"/>
    </row>
    <row r="21" ht="15.75" customHeight="1">
      <c r="A21" s="25" t="s">
        <v>59</v>
      </c>
      <c r="B21" s="26">
        <f>i_C8!C22</f>
        <v>1074014.711</v>
      </c>
      <c r="C21" s="26">
        <v>1062693.7909400011</v>
      </c>
      <c r="D21" s="31">
        <f t="shared" si="1"/>
        <v>98.94592509</v>
      </c>
      <c r="E21" s="26">
        <v>13568.59606</v>
      </c>
      <c r="F21" s="31">
        <f t="shared" si="2"/>
        <v>1.263352906</v>
      </c>
      <c r="G21" s="26">
        <v>3194211.0</v>
      </c>
      <c r="H21" s="26">
        <v>3171559.0</v>
      </c>
      <c r="I21" s="31">
        <f t="shared" si="3"/>
        <v>99.29084209</v>
      </c>
      <c r="J21" s="26">
        <v>29296.0</v>
      </c>
      <c r="K21" s="31">
        <f t="shared" si="4"/>
        <v>0.9171591983</v>
      </c>
      <c r="L21" s="41"/>
    </row>
    <row r="22" ht="15.75" customHeight="1">
      <c r="A22" s="25" t="s">
        <v>60</v>
      </c>
      <c r="B22" s="26">
        <f>i_C8!C23</f>
        <v>1530216.826</v>
      </c>
      <c r="C22" s="26">
        <v>1484973.9964000008</v>
      </c>
      <c r="D22" s="31">
        <f t="shared" si="1"/>
        <v>97.04337133</v>
      </c>
      <c r="E22" s="26">
        <v>54233.03671</v>
      </c>
      <c r="F22" s="31">
        <f t="shared" si="2"/>
        <v>3.54414066</v>
      </c>
      <c r="G22" s="26">
        <v>3027664.0</v>
      </c>
      <c r="H22" s="26">
        <v>2959591.0</v>
      </c>
      <c r="I22" s="31">
        <f t="shared" si="3"/>
        <v>97.75163294</v>
      </c>
      <c r="J22" s="26">
        <v>83691.0</v>
      </c>
      <c r="K22" s="31">
        <f t="shared" si="4"/>
        <v>2.764210295</v>
      </c>
      <c r="L22" s="41"/>
    </row>
    <row r="23" ht="15.75" customHeight="1">
      <c r="A23" s="25" t="s">
        <v>63</v>
      </c>
      <c r="B23" s="26">
        <f>i_C8!C24</f>
        <v>1405098.965</v>
      </c>
      <c r="C23" s="26">
        <v>1389047.5989299964</v>
      </c>
      <c r="D23" s="31">
        <f t="shared" si="1"/>
        <v>98.85763449</v>
      </c>
      <c r="E23" s="26">
        <v>22065.001930000002</v>
      </c>
      <c r="F23" s="31">
        <f t="shared" si="2"/>
        <v>1.570352159</v>
      </c>
      <c r="G23" s="26">
        <v>2412216.0</v>
      </c>
      <c r="H23" s="26">
        <v>2403963.0</v>
      </c>
      <c r="I23" s="31">
        <f t="shared" si="3"/>
        <v>99.65786646</v>
      </c>
      <c r="J23" s="26">
        <v>23482.0</v>
      </c>
      <c r="K23" s="31">
        <f t="shared" si="4"/>
        <v>0.9734617464</v>
      </c>
      <c r="L23" s="41"/>
    </row>
    <row r="24" ht="15.75" customHeight="1">
      <c r="A24" s="25" t="s">
        <v>64</v>
      </c>
      <c r="B24" s="26">
        <f>i_C8!C25</f>
        <v>809034.2133</v>
      </c>
      <c r="C24" s="26">
        <v>802002.6418200016</v>
      </c>
      <c r="D24" s="31">
        <f t="shared" si="1"/>
        <v>99.13086846</v>
      </c>
      <c r="E24" s="26">
        <v>7470.211520000001</v>
      </c>
      <c r="F24" s="31">
        <f t="shared" si="2"/>
        <v>0.9233492721</v>
      </c>
      <c r="G24" s="26">
        <v>1705365.0</v>
      </c>
      <c r="H24" s="26">
        <v>1700620.0</v>
      </c>
      <c r="I24" s="31">
        <f t="shared" si="3"/>
        <v>99.72176044</v>
      </c>
      <c r="J24" s="26">
        <v>5948.0</v>
      </c>
      <c r="K24" s="31">
        <f t="shared" si="4"/>
        <v>0.3487816391</v>
      </c>
      <c r="L24" s="41"/>
    </row>
    <row r="25" ht="15.75" customHeight="1">
      <c r="A25" s="25" t="s">
        <v>65</v>
      </c>
      <c r="B25" s="26">
        <f>i_C8!C26</f>
        <v>779688.7591</v>
      </c>
      <c r="C25" s="26">
        <v>774492.548960002</v>
      </c>
      <c r="D25" s="31">
        <f t="shared" si="1"/>
        <v>99.33355328</v>
      </c>
      <c r="E25" s="26">
        <v>2695.859278</v>
      </c>
      <c r="F25" s="31">
        <f t="shared" si="2"/>
        <v>0.3457609522</v>
      </c>
      <c r="G25" s="26">
        <v>2608489.0</v>
      </c>
      <c r="H25" s="26">
        <v>2540113.0</v>
      </c>
      <c r="I25" s="31">
        <f t="shared" si="3"/>
        <v>97.37871235</v>
      </c>
      <c r="J25" s="26">
        <v>74592.0</v>
      </c>
      <c r="K25" s="31">
        <f t="shared" si="4"/>
        <v>2.859586527</v>
      </c>
      <c r="L25" s="41"/>
    </row>
    <row r="26" ht="15.75" customHeight="1">
      <c r="A26" s="28"/>
      <c r="B26" s="28"/>
      <c r="C26" s="28"/>
      <c r="D26" s="28"/>
      <c r="E26" s="28"/>
      <c r="F26" s="28"/>
      <c r="G26" s="28"/>
      <c r="H26" s="28"/>
      <c r="I26" s="28"/>
      <c r="J26" s="28"/>
      <c r="K26" s="28"/>
    </row>
    <row r="27" ht="15.75" customHeight="1">
      <c r="A27" s="9"/>
      <c r="B27" s="9"/>
      <c r="C27" s="9"/>
      <c r="D27" s="9"/>
      <c r="E27" s="9"/>
      <c r="F27" s="9"/>
      <c r="G27" s="9"/>
      <c r="H27" s="9"/>
      <c r="I27" s="9"/>
    </row>
    <row r="28" ht="15.75" customHeight="1">
      <c r="A28" s="29" t="s">
        <v>69</v>
      </c>
      <c r="B28" s="29"/>
      <c r="C28" s="29"/>
      <c r="D28" s="29"/>
      <c r="E28" s="29"/>
      <c r="F28" s="29"/>
      <c r="G28" s="29"/>
      <c r="H28" s="29"/>
      <c r="I28" s="29"/>
      <c r="J28" s="29"/>
      <c r="K28" s="29"/>
      <c r="L28" s="30"/>
      <c r="M28" s="30"/>
      <c r="N28" s="30"/>
      <c r="O28" s="30"/>
      <c r="P28" s="30"/>
      <c r="Q28" s="30"/>
      <c r="R28" s="30"/>
    </row>
    <row r="29" ht="15.75" customHeight="1">
      <c r="A29" s="29" t="s">
        <v>72</v>
      </c>
      <c r="B29" s="29"/>
      <c r="C29" s="29"/>
      <c r="D29" s="29"/>
      <c r="E29" s="29"/>
      <c r="F29" s="29"/>
      <c r="G29" s="29"/>
      <c r="H29" s="29"/>
      <c r="I29" s="29"/>
      <c r="J29" s="29"/>
      <c r="K29" s="29"/>
      <c r="L29" s="30"/>
      <c r="M29" s="30"/>
      <c r="N29" s="30"/>
      <c r="O29" s="30"/>
      <c r="P29" s="30"/>
      <c r="Q29" s="30"/>
      <c r="R29" s="30"/>
    </row>
    <row r="30" ht="15.75" customHeight="1">
      <c r="A30" s="29" t="s">
        <v>174</v>
      </c>
      <c r="B30" s="29"/>
      <c r="C30" s="29"/>
      <c r="D30" s="29"/>
      <c r="E30" s="29"/>
      <c r="F30" s="29"/>
      <c r="G30" s="29"/>
      <c r="H30" s="29"/>
      <c r="I30" s="29"/>
      <c r="J30" s="29"/>
      <c r="K30" s="29"/>
      <c r="L30" s="30"/>
      <c r="M30" s="30"/>
      <c r="N30" s="30"/>
      <c r="O30" s="30"/>
      <c r="P30" s="30"/>
      <c r="Q30" s="30"/>
      <c r="R30" s="30"/>
    </row>
    <row r="31" ht="15.75" customHeight="1">
      <c r="A31" s="29" t="s">
        <v>175</v>
      </c>
      <c r="B31" s="29"/>
      <c r="C31" s="29"/>
      <c r="D31" s="29"/>
      <c r="E31" s="29"/>
      <c r="F31" s="29"/>
      <c r="G31" s="29"/>
      <c r="H31" s="29"/>
      <c r="I31" s="29"/>
      <c r="J31" s="29"/>
      <c r="K31" s="29"/>
      <c r="L31" s="30"/>
      <c r="M31" s="30"/>
      <c r="N31" s="30"/>
      <c r="O31" s="30"/>
      <c r="P31" s="30"/>
      <c r="Q31" s="30"/>
      <c r="R31" s="30"/>
    </row>
    <row r="32" ht="15.75" customHeight="1">
      <c r="A32" s="32" t="s">
        <v>76</v>
      </c>
    </row>
    <row r="33" ht="15.75" customHeight="1">
      <c r="A33" s="32"/>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
    <mergeCell ref="H5:I5"/>
    <mergeCell ref="J5:K5"/>
    <mergeCell ref="A32:R32"/>
    <mergeCell ref="A33:R33"/>
    <mergeCell ref="A4:A6"/>
    <mergeCell ref="B4:F4"/>
    <mergeCell ref="G4:K4"/>
    <mergeCell ref="B5:B6"/>
    <mergeCell ref="C5:D5"/>
    <mergeCell ref="E5:F5"/>
    <mergeCell ref="G5:G6"/>
  </mergeCells>
  <hyperlinks>
    <hyperlink display="BACK TO LIST" location="LIST!A1" ref="A1"/>
  </hyperlinks>
  <printOptions/>
  <pageMargins bottom="0.75" footer="0.0" header="0.0" left="0.7" right="0.7" top="0.75"/>
  <pageSetup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7"/>
    <pageSetUpPr/>
  </sheetPr>
  <sheetViews>
    <sheetView workbookViewId="0"/>
  </sheetViews>
  <sheetFormatPr customHeight="1" defaultColWidth="12.63" defaultRowHeight="15.0"/>
  <cols>
    <col customWidth="1" min="1" max="1" width="39.0"/>
    <col customWidth="1" min="2" max="2" width="17.63"/>
    <col customWidth="1" min="3" max="8" width="14.0"/>
    <col customWidth="1" min="9" max="26" width="8.63"/>
  </cols>
  <sheetData>
    <row r="1">
      <c r="A1" s="5" t="s">
        <v>1</v>
      </c>
    </row>
    <row r="2" ht="15.0" customHeight="1">
      <c r="A2" s="6" t="s">
        <v>158</v>
      </c>
      <c r="B2" s="6"/>
      <c r="C2" s="6"/>
      <c r="D2" s="6"/>
    </row>
    <row r="3">
      <c r="A3" s="8"/>
      <c r="B3" s="9"/>
      <c r="C3" s="9"/>
      <c r="D3" s="9"/>
    </row>
    <row r="4" ht="13.5" customHeight="1">
      <c r="A4" s="10" t="s">
        <v>13</v>
      </c>
      <c r="B4" s="21" t="s">
        <v>159</v>
      </c>
      <c r="C4" s="42" t="s">
        <v>160</v>
      </c>
      <c r="D4" s="14"/>
      <c r="E4" s="14"/>
      <c r="F4" s="14"/>
      <c r="G4" s="14"/>
      <c r="H4" s="15"/>
    </row>
    <row r="5" ht="15.0" customHeight="1">
      <c r="A5" s="17"/>
      <c r="B5" s="17"/>
      <c r="C5" s="13" t="s">
        <v>161</v>
      </c>
      <c r="D5" s="15"/>
      <c r="E5" s="13" t="s">
        <v>162</v>
      </c>
      <c r="F5" s="15"/>
      <c r="G5" s="13" t="s">
        <v>163</v>
      </c>
      <c r="H5" s="15"/>
    </row>
    <row r="6">
      <c r="A6" s="18"/>
      <c r="B6" s="18"/>
      <c r="C6" s="24" t="s">
        <v>37</v>
      </c>
      <c r="D6" s="24" t="s">
        <v>39</v>
      </c>
      <c r="E6" s="24" t="s">
        <v>37</v>
      </c>
      <c r="F6" s="24" t="s">
        <v>39</v>
      </c>
      <c r="G6" s="24" t="s">
        <v>37</v>
      </c>
      <c r="H6" s="24" t="s">
        <v>39</v>
      </c>
    </row>
    <row r="7">
      <c r="A7" s="16"/>
      <c r="B7" s="20"/>
      <c r="C7" s="20"/>
      <c r="D7" s="20"/>
      <c r="E7" s="20"/>
      <c r="F7" s="20"/>
      <c r="G7" s="20"/>
      <c r="H7" s="20"/>
    </row>
    <row r="8">
      <c r="A8" s="22" t="s">
        <v>33</v>
      </c>
      <c r="B8" s="23">
        <v>7.2989986E7</v>
      </c>
      <c r="C8" s="23">
        <v>6.1831391E7</v>
      </c>
      <c r="D8" s="27">
        <f t="shared" ref="D8:D25" si="1">(C8/$B8)*100</f>
        <v>84.71215627</v>
      </c>
      <c r="E8" s="23">
        <v>9212540.0</v>
      </c>
      <c r="F8" s="27">
        <f t="shared" ref="F8:F25" si="2">(E8/$B8)*100</f>
        <v>12.62164922</v>
      </c>
      <c r="G8" s="23">
        <v>2195966.0</v>
      </c>
      <c r="H8" s="27">
        <f t="shared" ref="H8:H25" si="3">(G8/$B8)*100</f>
        <v>3.008585315</v>
      </c>
    </row>
    <row r="9">
      <c r="A9" s="25" t="s">
        <v>38</v>
      </c>
      <c r="B9" s="26">
        <v>1.0953079E7</v>
      </c>
      <c r="C9" s="26">
        <v>9823627.0</v>
      </c>
      <c r="D9" s="31">
        <f t="shared" si="1"/>
        <v>89.68826939</v>
      </c>
      <c r="E9" s="26">
        <v>990700.0</v>
      </c>
      <c r="F9" s="31">
        <f t="shared" si="2"/>
        <v>9.044945262</v>
      </c>
      <c r="G9" s="26">
        <v>166319.0</v>
      </c>
      <c r="H9" s="31">
        <f t="shared" si="3"/>
        <v>1.518468003</v>
      </c>
    </row>
    <row r="10">
      <c r="A10" s="25" t="s">
        <v>41</v>
      </c>
      <c r="B10" s="26">
        <v>1278264.0</v>
      </c>
      <c r="C10" s="26">
        <v>965232.0</v>
      </c>
      <c r="D10" s="31">
        <f t="shared" si="1"/>
        <v>75.51116201</v>
      </c>
      <c r="E10" s="26">
        <v>266527.0</v>
      </c>
      <c r="F10" s="31">
        <f t="shared" si="2"/>
        <v>20.85070064</v>
      </c>
      <c r="G10" s="26">
        <v>48335.0</v>
      </c>
      <c r="H10" s="31">
        <f t="shared" si="3"/>
        <v>3.781300263</v>
      </c>
    </row>
    <row r="11">
      <c r="A11" s="25" t="s">
        <v>43</v>
      </c>
      <c r="B11" s="26">
        <v>3690995.0</v>
      </c>
      <c r="C11" s="26">
        <v>3080402.0</v>
      </c>
      <c r="D11" s="31">
        <f t="shared" si="1"/>
        <v>83.45722495</v>
      </c>
      <c r="E11" s="26">
        <v>570484.0</v>
      </c>
      <c r="F11" s="31">
        <f t="shared" si="2"/>
        <v>15.4561033</v>
      </c>
      <c r="G11" s="26">
        <v>40109.0</v>
      </c>
      <c r="H11" s="31">
        <f t="shared" si="3"/>
        <v>1.086671751</v>
      </c>
    </row>
    <row r="12">
      <c r="A12" s="25" t="s">
        <v>44</v>
      </c>
      <c r="B12" s="26">
        <v>2454608.0</v>
      </c>
      <c r="C12" s="26">
        <v>2126558.0</v>
      </c>
      <c r="D12" s="31">
        <f t="shared" si="1"/>
        <v>86.63534055</v>
      </c>
      <c r="E12" s="26">
        <v>269894.0</v>
      </c>
      <c r="F12" s="31">
        <f t="shared" si="2"/>
        <v>10.9954013</v>
      </c>
      <c r="G12" s="26">
        <v>65047.0</v>
      </c>
      <c r="H12" s="31">
        <f t="shared" si="3"/>
        <v>2.649995437</v>
      </c>
    </row>
    <row r="13">
      <c r="A13" s="25" t="s">
        <v>46</v>
      </c>
      <c r="B13" s="26">
        <v>9031169.0</v>
      </c>
      <c r="C13" s="26">
        <v>7850092.0</v>
      </c>
      <c r="D13" s="31">
        <f t="shared" si="1"/>
        <v>86.9222135</v>
      </c>
      <c r="E13" s="26">
        <v>1137264.0</v>
      </c>
      <c r="F13" s="31">
        <f t="shared" si="2"/>
        <v>12.5926555</v>
      </c>
      <c r="G13" s="26">
        <v>53207.0</v>
      </c>
      <c r="H13" s="31">
        <f t="shared" si="3"/>
        <v>0.5891485366</v>
      </c>
    </row>
    <row r="14">
      <c r="A14" s="25" t="s">
        <v>48</v>
      </c>
      <c r="B14" s="26">
        <v>1.2098018E7</v>
      </c>
      <c r="C14" s="26">
        <v>1.013664E7</v>
      </c>
      <c r="D14" s="31">
        <f t="shared" si="1"/>
        <v>83.78760885</v>
      </c>
      <c r="E14" s="26">
        <v>1737288.0</v>
      </c>
      <c r="F14" s="31">
        <f t="shared" si="2"/>
        <v>14.36010427</v>
      </c>
      <c r="G14" s="26">
        <v>271609.0</v>
      </c>
      <c r="H14" s="31">
        <f t="shared" si="3"/>
        <v>2.245070226</v>
      </c>
    </row>
    <row r="15">
      <c r="A15" s="25" t="s">
        <v>50</v>
      </c>
      <c r="B15" s="26">
        <v>1905284.0</v>
      </c>
      <c r="C15" s="26">
        <v>1418050.0</v>
      </c>
      <c r="D15" s="31">
        <f t="shared" si="1"/>
        <v>74.4272245</v>
      </c>
      <c r="E15" s="26">
        <v>395749.0</v>
      </c>
      <c r="F15" s="31">
        <f t="shared" si="2"/>
        <v>20.77112913</v>
      </c>
      <c r="G15" s="26">
        <v>103019.0</v>
      </c>
      <c r="H15" s="31">
        <f t="shared" si="3"/>
        <v>5.407015437</v>
      </c>
    </row>
    <row r="16">
      <c r="A16" s="25" t="s">
        <v>51</v>
      </c>
      <c r="B16" s="26">
        <v>3580110.0</v>
      </c>
      <c r="C16" s="26">
        <v>2765560.0</v>
      </c>
      <c r="D16" s="31">
        <f t="shared" si="1"/>
        <v>77.24790579</v>
      </c>
      <c r="E16" s="26">
        <v>604525.0</v>
      </c>
      <c r="F16" s="31">
        <f t="shared" si="2"/>
        <v>16.88565435</v>
      </c>
      <c r="G16" s="26">
        <v>222533.0</v>
      </c>
      <c r="H16" s="31">
        <f t="shared" si="3"/>
        <v>6.215814598</v>
      </c>
    </row>
    <row r="17">
      <c r="A17" s="25" t="s">
        <v>53</v>
      </c>
      <c r="B17" s="26">
        <v>4997303.0</v>
      </c>
      <c r="C17" s="26">
        <v>4421971.0</v>
      </c>
      <c r="D17" s="31">
        <f t="shared" si="1"/>
        <v>88.48714997</v>
      </c>
      <c r="E17" s="26">
        <v>481861.0</v>
      </c>
      <c r="F17" s="31">
        <f t="shared" si="2"/>
        <v>9.642421122</v>
      </c>
      <c r="G17" s="26">
        <v>134427.0</v>
      </c>
      <c r="H17" s="31">
        <f t="shared" si="3"/>
        <v>2.689990981</v>
      </c>
    </row>
    <row r="18">
      <c r="A18" s="25" t="s">
        <v>54</v>
      </c>
      <c r="B18" s="26">
        <v>5303296.0</v>
      </c>
      <c r="C18" s="26">
        <v>4464670.0</v>
      </c>
      <c r="D18" s="31">
        <f t="shared" si="1"/>
        <v>84.18670201</v>
      </c>
      <c r="E18" s="26">
        <v>614620.0</v>
      </c>
      <c r="F18" s="31">
        <f t="shared" si="2"/>
        <v>11.58939648</v>
      </c>
      <c r="G18" s="26">
        <v>236453.0</v>
      </c>
      <c r="H18" s="31">
        <f t="shared" si="3"/>
        <v>4.458604611</v>
      </c>
    </row>
    <row r="19">
      <c r="A19" s="25" t="s">
        <v>56</v>
      </c>
      <c r="B19" s="26">
        <v>2707991.0</v>
      </c>
      <c r="C19" s="26">
        <v>2318040.0</v>
      </c>
      <c r="D19" s="31">
        <f t="shared" si="1"/>
        <v>85.59998907</v>
      </c>
      <c r="E19" s="26">
        <v>271039.0</v>
      </c>
      <c r="F19" s="31">
        <f t="shared" si="2"/>
        <v>10.00885897</v>
      </c>
      <c r="G19" s="26">
        <v>130022.0</v>
      </c>
      <c r="H19" s="31">
        <f t="shared" si="3"/>
        <v>4.801419207</v>
      </c>
    </row>
    <row r="20">
      <c r="A20" s="25" t="s">
        <v>57</v>
      </c>
      <c r="B20" s="26">
        <v>2017060.0</v>
      </c>
      <c r="C20" s="26">
        <v>1674769.0</v>
      </c>
      <c r="D20" s="31">
        <f t="shared" si="1"/>
        <v>83.03020237</v>
      </c>
      <c r="E20" s="26">
        <v>297715.0</v>
      </c>
      <c r="F20" s="31">
        <f t="shared" si="2"/>
        <v>14.75984849</v>
      </c>
      <c r="G20" s="26">
        <v>49606.0</v>
      </c>
      <c r="H20" s="31">
        <f t="shared" si="3"/>
        <v>2.459321983</v>
      </c>
    </row>
    <row r="21" ht="15.75" customHeight="1">
      <c r="A21" s="25" t="s">
        <v>59</v>
      </c>
      <c r="B21" s="26">
        <v>3199745.0</v>
      </c>
      <c r="C21" s="26">
        <v>2720214.0</v>
      </c>
      <c r="D21" s="31">
        <f t="shared" si="1"/>
        <v>85.01346201</v>
      </c>
      <c r="E21" s="26">
        <v>390802.0</v>
      </c>
      <c r="F21" s="31">
        <f t="shared" si="2"/>
        <v>12.21353577</v>
      </c>
      <c r="G21" s="26">
        <v>97311.0</v>
      </c>
      <c r="H21" s="31">
        <f t="shared" si="3"/>
        <v>3.041211097</v>
      </c>
    </row>
    <row r="22" ht="15.75" customHeight="1">
      <c r="A22" s="25" t="s">
        <v>60</v>
      </c>
      <c r="B22" s="26">
        <v>3037809.0</v>
      </c>
      <c r="C22" s="26">
        <v>2653838.0</v>
      </c>
      <c r="D22" s="31">
        <f t="shared" si="1"/>
        <v>87.36026524</v>
      </c>
      <c r="E22" s="26">
        <v>336161.0</v>
      </c>
      <c r="F22" s="31">
        <f t="shared" si="2"/>
        <v>11.06590309</v>
      </c>
      <c r="G22" s="26">
        <v>59276.0</v>
      </c>
      <c r="H22" s="31">
        <f t="shared" si="3"/>
        <v>1.951274751</v>
      </c>
    </row>
    <row r="23" ht="15.75" customHeight="1">
      <c r="A23" s="25" t="s">
        <v>63</v>
      </c>
      <c r="B23" s="26">
        <v>2416167.0</v>
      </c>
      <c r="C23" s="26">
        <v>2074464.0</v>
      </c>
      <c r="D23" s="31">
        <f t="shared" si="1"/>
        <v>85.85764146</v>
      </c>
      <c r="E23" s="26">
        <v>220409.0</v>
      </c>
      <c r="F23" s="31">
        <f t="shared" si="2"/>
        <v>9.122258519</v>
      </c>
      <c r="G23" s="26">
        <v>121294.0</v>
      </c>
      <c r="H23" s="31">
        <f t="shared" si="3"/>
        <v>5.020100018</v>
      </c>
    </row>
    <row r="24" ht="15.75" customHeight="1">
      <c r="A24" s="25" t="s">
        <v>64</v>
      </c>
      <c r="B24" s="26">
        <v>1709641.0</v>
      </c>
      <c r="C24" s="26">
        <v>1286972.0</v>
      </c>
      <c r="D24" s="31">
        <f t="shared" si="1"/>
        <v>75.2773243</v>
      </c>
      <c r="E24" s="26">
        <v>261220.0</v>
      </c>
      <c r="F24" s="31">
        <f t="shared" si="2"/>
        <v>15.27923114</v>
      </c>
      <c r="G24" s="26">
        <v>176927.0</v>
      </c>
      <c r="H24" s="31">
        <f t="shared" si="3"/>
        <v>10.34878083</v>
      </c>
    </row>
    <row r="25" ht="15.75" customHeight="1">
      <c r="A25" s="25" t="s">
        <v>65</v>
      </c>
      <c r="B25" s="26">
        <v>2609448.0</v>
      </c>
      <c r="C25" s="26">
        <v>2050292.0</v>
      </c>
      <c r="D25" s="31">
        <f t="shared" si="1"/>
        <v>78.57186654</v>
      </c>
      <c r="E25" s="26">
        <v>366282.0</v>
      </c>
      <c r="F25" s="31">
        <f t="shared" si="2"/>
        <v>14.0367618</v>
      </c>
      <c r="G25" s="26">
        <v>220473.0</v>
      </c>
      <c r="H25" s="31">
        <f t="shared" si="3"/>
        <v>8.4490283</v>
      </c>
    </row>
    <row r="26" ht="15.75" customHeight="1">
      <c r="A26" s="28"/>
      <c r="B26" s="28"/>
      <c r="C26" s="28"/>
      <c r="D26" s="28"/>
      <c r="E26" s="28"/>
      <c r="F26" s="28"/>
      <c r="G26" s="28"/>
      <c r="H26" s="28"/>
    </row>
    <row r="27" ht="15.75" customHeight="1">
      <c r="A27" s="9"/>
      <c r="B27" s="9"/>
      <c r="C27" s="9"/>
      <c r="D27" s="9"/>
    </row>
    <row r="28" ht="15.75" customHeight="1">
      <c r="A28" s="29" t="s">
        <v>69</v>
      </c>
      <c r="B28" s="29"/>
      <c r="C28" s="29"/>
      <c r="D28" s="29"/>
      <c r="E28" s="29"/>
      <c r="F28" s="29"/>
      <c r="G28" s="30"/>
      <c r="H28" s="30"/>
    </row>
    <row r="29" ht="15.75" customHeight="1">
      <c r="A29" s="29" t="s">
        <v>72</v>
      </c>
      <c r="B29" s="29"/>
      <c r="C29" s="29"/>
      <c r="D29" s="29"/>
      <c r="E29" s="29"/>
      <c r="F29" s="29"/>
      <c r="G29" s="30"/>
      <c r="H29" s="30"/>
    </row>
    <row r="30" ht="15.75" customHeight="1">
      <c r="A30" s="29" t="s">
        <v>171</v>
      </c>
      <c r="B30" s="29"/>
      <c r="C30" s="29"/>
      <c r="D30" s="29"/>
      <c r="E30" s="29"/>
      <c r="F30" s="29"/>
      <c r="G30" s="30"/>
      <c r="H30" s="30"/>
    </row>
    <row r="31" ht="15.75" customHeight="1">
      <c r="A31" s="29" t="s">
        <v>172</v>
      </c>
      <c r="B31" s="29"/>
      <c r="C31" s="29"/>
      <c r="D31" s="29"/>
      <c r="E31" s="29"/>
      <c r="F31" s="29"/>
      <c r="G31" s="30"/>
      <c r="H31" s="30"/>
    </row>
    <row r="32" ht="15.75" customHeight="1">
      <c r="A32" s="32" t="s">
        <v>76</v>
      </c>
    </row>
    <row r="33" ht="15.75" customHeight="1">
      <c r="A33" s="32"/>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A4:A6"/>
    <mergeCell ref="B4:B6"/>
    <mergeCell ref="C4:H4"/>
    <mergeCell ref="C5:D5"/>
    <mergeCell ref="E5:F5"/>
    <mergeCell ref="G5:H5"/>
    <mergeCell ref="A32:H32"/>
    <mergeCell ref="A33:H33"/>
  </mergeCells>
  <hyperlinks>
    <hyperlink display="BACK TO LIST" location="LIST!A1" ref="A1"/>
  </hyperlinks>
  <printOptions/>
  <pageMargins bottom="0.75" footer="0.0" header="0.0" left="0.7" right="0.7" top="0.75"/>
  <pageSetup paperSize="9"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7"/>
    <pageSetUpPr/>
  </sheetPr>
  <sheetViews>
    <sheetView workbookViewId="0"/>
  </sheetViews>
  <sheetFormatPr customHeight="1" defaultColWidth="12.63" defaultRowHeight="15.0"/>
  <cols>
    <col customWidth="1" min="1" max="1" width="39.0"/>
    <col customWidth="1" min="2" max="10" width="14.0"/>
    <col customWidth="1" min="11" max="26" width="8.63"/>
  </cols>
  <sheetData>
    <row r="1">
      <c r="A1" s="5" t="s">
        <v>1</v>
      </c>
    </row>
    <row r="2" ht="15.0" customHeight="1">
      <c r="A2" s="33" t="s">
        <v>164</v>
      </c>
      <c r="B2" s="33"/>
      <c r="C2" s="33"/>
      <c r="D2" s="33"/>
      <c r="E2" s="33"/>
      <c r="F2" s="33"/>
      <c r="G2" s="33"/>
      <c r="H2" s="33"/>
    </row>
    <row r="3">
      <c r="A3" s="8"/>
      <c r="B3" s="9"/>
      <c r="C3" s="9"/>
      <c r="D3" s="9"/>
      <c r="E3" s="9"/>
      <c r="F3" s="9"/>
      <c r="G3" s="9"/>
      <c r="H3" s="9"/>
    </row>
    <row r="4">
      <c r="A4" s="10" t="s">
        <v>13</v>
      </c>
      <c r="B4" s="21" t="s">
        <v>165</v>
      </c>
      <c r="C4" s="42" t="s">
        <v>166</v>
      </c>
      <c r="D4" s="14"/>
      <c r="E4" s="14"/>
      <c r="F4" s="14"/>
      <c r="G4" s="14"/>
      <c r="H4" s="14"/>
      <c r="I4" s="14"/>
      <c r="J4" s="15"/>
    </row>
    <row r="5" ht="15.0" customHeight="1">
      <c r="A5" s="17"/>
      <c r="B5" s="17"/>
      <c r="C5" s="13" t="s">
        <v>167</v>
      </c>
      <c r="D5" s="15"/>
      <c r="E5" s="13" t="s">
        <v>168</v>
      </c>
      <c r="F5" s="15"/>
      <c r="G5" s="13" t="s">
        <v>169</v>
      </c>
      <c r="H5" s="15"/>
      <c r="I5" s="13" t="s">
        <v>170</v>
      </c>
      <c r="J5" s="15"/>
    </row>
    <row r="6">
      <c r="A6" s="18"/>
      <c r="B6" s="18"/>
      <c r="C6" s="24" t="s">
        <v>37</v>
      </c>
      <c r="D6" s="24" t="s">
        <v>39</v>
      </c>
      <c r="E6" s="24" t="s">
        <v>37</v>
      </c>
      <c r="F6" s="24" t="s">
        <v>39</v>
      </c>
      <c r="G6" s="24" t="s">
        <v>37</v>
      </c>
      <c r="H6" s="24" t="s">
        <v>39</v>
      </c>
      <c r="I6" s="24" t="s">
        <v>37</v>
      </c>
      <c r="J6" s="24" t="s">
        <v>39</v>
      </c>
    </row>
    <row r="7">
      <c r="A7" s="16"/>
      <c r="B7" s="20"/>
      <c r="C7" s="20"/>
      <c r="D7" s="20"/>
      <c r="E7" s="20"/>
      <c r="F7" s="20"/>
      <c r="G7" s="20"/>
      <c r="H7" s="20"/>
      <c r="I7" s="20"/>
      <c r="J7" s="20"/>
    </row>
    <row r="8">
      <c r="A8" s="22" t="s">
        <v>33</v>
      </c>
      <c r="B8" s="23">
        <v>1.1364259E7</v>
      </c>
      <c r="C8" s="23">
        <v>2216397.0</v>
      </c>
      <c r="D8" s="27">
        <f t="shared" ref="D8:D25" si="1">(C8/$B8)*100</f>
        <v>19.50322498</v>
      </c>
      <c r="E8" s="23">
        <v>4214914.0</v>
      </c>
      <c r="F8" s="27">
        <f t="shared" ref="F8:F25" si="2">(E8/$B8)*100</f>
        <v>37.08921101</v>
      </c>
      <c r="G8" s="23">
        <v>4221711.0</v>
      </c>
      <c r="H8" s="27">
        <f t="shared" ref="H8:H25" si="3">(G8/$B8)*100</f>
        <v>37.14902133</v>
      </c>
      <c r="I8" s="23">
        <v>641634.0</v>
      </c>
      <c r="J8" s="27">
        <f t="shared" ref="J8:J25" si="4">(I8/$B8)*100</f>
        <v>5.646069841</v>
      </c>
      <c r="K8" s="41"/>
    </row>
    <row r="9">
      <c r="A9" s="25" t="s">
        <v>38</v>
      </c>
      <c r="B9" s="26">
        <v>1157019.0</v>
      </c>
      <c r="C9" s="26">
        <v>170718.0</v>
      </c>
      <c r="D9" s="31">
        <f t="shared" si="1"/>
        <v>14.75498674</v>
      </c>
      <c r="E9" s="26">
        <v>171704.0</v>
      </c>
      <c r="F9" s="31">
        <f t="shared" si="2"/>
        <v>14.84020574</v>
      </c>
      <c r="G9" s="26">
        <v>735644.0</v>
      </c>
      <c r="H9" s="31">
        <f t="shared" si="3"/>
        <v>63.58097836</v>
      </c>
      <c r="I9" s="26">
        <v>76015.0</v>
      </c>
      <c r="J9" s="31">
        <f t="shared" si="4"/>
        <v>6.569900754</v>
      </c>
      <c r="K9" s="41"/>
    </row>
    <row r="10">
      <c r="A10" s="25" t="s">
        <v>41</v>
      </c>
      <c r="B10" s="26">
        <v>313801.0</v>
      </c>
      <c r="C10" s="26">
        <v>51946.0</v>
      </c>
      <c r="D10" s="31">
        <f t="shared" si="1"/>
        <v>16.55380321</v>
      </c>
      <c r="E10" s="26">
        <v>172795.0</v>
      </c>
      <c r="F10" s="31">
        <f t="shared" si="2"/>
        <v>55.06515276</v>
      </c>
      <c r="G10" s="26">
        <v>80371.0</v>
      </c>
      <c r="H10" s="31">
        <f t="shared" si="3"/>
        <v>25.61209174</v>
      </c>
      <c r="I10" s="26">
        <v>8238.0</v>
      </c>
      <c r="J10" s="31">
        <f t="shared" si="4"/>
        <v>2.62523064</v>
      </c>
      <c r="K10" s="41"/>
    </row>
    <row r="11">
      <c r="A11" s="25" t="s">
        <v>43</v>
      </c>
      <c r="B11" s="26">
        <v>610593.0</v>
      </c>
      <c r="C11" s="26">
        <v>164712.0</v>
      </c>
      <c r="D11" s="31">
        <f t="shared" si="1"/>
        <v>26.97574325</v>
      </c>
      <c r="E11" s="26">
        <v>339389.0</v>
      </c>
      <c r="F11" s="31">
        <f t="shared" si="2"/>
        <v>55.58350653</v>
      </c>
      <c r="G11" s="26">
        <v>99020.0</v>
      </c>
      <c r="H11" s="31">
        <f t="shared" si="3"/>
        <v>16.21702181</v>
      </c>
      <c r="I11" s="26">
        <v>7472.0</v>
      </c>
      <c r="J11" s="31">
        <f t="shared" si="4"/>
        <v>1.223728408</v>
      </c>
      <c r="K11" s="41"/>
    </row>
    <row r="12">
      <c r="A12" s="25" t="s">
        <v>44</v>
      </c>
      <c r="B12" s="26">
        <v>334942.0</v>
      </c>
      <c r="C12" s="26">
        <v>44891.0</v>
      </c>
      <c r="D12" s="31">
        <f t="shared" si="1"/>
        <v>13.40261896</v>
      </c>
      <c r="E12" s="26">
        <v>96425.0</v>
      </c>
      <c r="F12" s="31">
        <f t="shared" si="2"/>
        <v>28.78856638</v>
      </c>
      <c r="G12" s="26">
        <v>155869.0</v>
      </c>
      <c r="H12" s="31">
        <f t="shared" si="3"/>
        <v>46.5361167</v>
      </c>
      <c r="I12" s="26">
        <v>36205.0</v>
      </c>
      <c r="J12" s="31">
        <f t="shared" si="4"/>
        <v>10.80933415</v>
      </c>
      <c r="K12" s="41"/>
    </row>
    <row r="13">
      <c r="A13" s="25" t="s">
        <v>46</v>
      </c>
      <c r="B13" s="26">
        <v>1190471.0</v>
      </c>
      <c r="C13" s="26">
        <v>207672.0</v>
      </c>
      <c r="D13" s="31">
        <f t="shared" si="1"/>
        <v>17.44452406</v>
      </c>
      <c r="E13" s="26">
        <v>206739.0</v>
      </c>
      <c r="F13" s="31">
        <f t="shared" si="2"/>
        <v>17.36615172</v>
      </c>
      <c r="G13" s="26">
        <v>666321.0</v>
      </c>
      <c r="H13" s="31">
        <f t="shared" si="3"/>
        <v>55.97120803</v>
      </c>
      <c r="I13" s="26">
        <v>103731.0</v>
      </c>
      <c r="J13" s="31">
        <f t="shared" si="4"/>
        <v>8.713441991</v>
      </c>
      <c r="K13" s="41"/>
    </row>
    <row r="14">
      <c r="A14" s="25" t="s">
        <v>48</v>
      </c>
      <c r="B14" s="26">
        <v>1999010.0</v>
      </c>
      <c r="C14" s="26">
        <v>407989.0</v>
      </c>
      <c r="D14" s="31">
        <f t="shared" si="1"/>
        <v>20.40955273</v>
      </c>
      <c r="E14" s="26">
        <v>561307.0</v>
      </c>
      <c r="F14" s="31">
        <f t="shared" si="2"/>
        <v>28.07924923</v>
      </c>
      <c r="G14" s="26">
        <v>890818.0</v>
      </c>
      <c r="H14" s="31">
        <f t="shared" si="3"/>
        <v>44.56295866</v>
      </c>
      <c r="I14" s="26">
        <v>123577.0</v>
      </c>
      <c r="J14" s="31">
        <f t="shared" si="4"/>
        <v>6.181910045</v>
      </c>
      <c r="K14" s="41"/>
    </row>
    <row r="15">
      <c r="A15" s="25" t="s">
        <v>50</v>
      </c>
      <c r="B15" s="26">
        <v>498094.0</v>
      </c>
      <c r="C15" s="26">
        <v>157666.0</v>
      </c>
      <c r="D15" s="31">
        <f t="shared" si="1"/>
        <v>31.65386453</v>
      </c>
      <c r="E15" s="26">
        <v>234774.0</v>
      </c>
      <c r="F15" s="31">
        <f t="shared" si="2"/>
        <v>47.13447662</v>
      </c>
      <c r="G15" s="26">
        <v>91597.0</v>
      </c>
      <c r="H15" s="31">
        <f t="shared" si="3"/>
        <v>18.38950078</v>
      </c>
      <c r="I15" s="26">
        <v>11194.0</v>
      </c>
      <c r="J15" s="31">
        <f t="shared" si="4"/>
        <v>2.247366963</v>
      </c>
      <c r="K15" s="41"/>
    </row>
    <row r="16">
      <c r="A16" s="25" t="s">
        <v>51</v>
      </c>
      <c r="B16" s="26">
        <v>827059.0</v>
      </c>
      <c r="C16" s="26">
        <v>179570.0</v>
      </c>
      <c r="D16" s="31">
        <f t="shared" si="1"/>
        <v>21.71187303</v>
      </c>
      <c r="E16" s="26">
        <v>312753.0</v>
      </c>
      <c r="F16" s="31">
        <f t="shared" si="2"/>
        <v>37.81507728</v>
      </c>
      <c r="G16" s="26">
        <v>291568.0</v>
      </c>
      <c r="H16" s="31">
        <f t="shared" si="3"/>
        <v>35.25359134</v>
      </c>
      <c r="I16" s="26">
        <v>37089.0</v>
      </c>
      <c r="J16" s="31">
        <f t="shared" si="4"/>
        <v>4.484444278</v>
      </c>
      <c r="K16" s="41"/>
    </row>
    <row r="17">
      <c r="A17" s="25" t="s">
        <v>53</v>
      </c>
      <c r="B17" s="26">
        <v>610574.0</v>
      </c>
      <c r="C17" s="26">
        <v>85860.0</v>
      </c>
      <c r="D17" s="31">
        <f t="shared" si="1"/>
        <v>14.06217756</v>
      </c>
      <c r="E17" s="26">
        <v>239694.0</v>
      </c>
      <c r="F17" s="31">
        <f t="shared" si="2"/>
        <v>39.25715802</v>
      </c>
      <c r="G17" s="26">
        <v>250844.0</v>
      </c>
      <c r="H17" s="31">
        <f t="shared" si="3"/>
        <v>41.08330849</v>
      </c>
      <c r="I17" s="26">
        <v>24194.0</v>
      </c>
      <c r="J17" s="31">
        <f t="shared" si="4"/>
        <v>3.96250086</v>
      </c>
      <c r="K17" s="41"/>
    </row>
    <row r="18">
      <c r="A18" s="25" t="s">
        <v>54</v>
      </c>
      <c r="B18" s="26">
        <v>845861.0</v>
      </c>
      <c r="C18" s="26">
        <v>91989.0</v>
      </c>
      <c r="D18" s="31">
        <f t="shared" si="1"/>
        <v>10.87519108</v>
      </c>
      <c r="E18" s="26">
        <v>324772.0</v>
      </c>
      <c r="F18" s="31">
        <f t="shared" si="2"/>
        <v>38.39543377</v>
      </c>
      <c r="G18" s="26">
        <v>352369.0</v>
      </c>
      <c r="H18" s="31">
        <f t="shared" si="3"/>
        <v>41.65802656</v>
      </c>
      <c r="I18" s="26">
        <v>72168.0</v>
      </c>
      <c r="J18" s="31">
        <f t="shared" si="4"/>
        <v>8.531898267</v>
      </c>
      <c r="K18" s="41"/>
    </row>
    <row r="19">
      <c r="A19" s="25" t="s">
        <v>56</v>
      </c>
      <c r="B19" s="26">
        <v>399041.0</v>
      </c>
      <c r="C19" s="26">
        <v>82391.0</v>
      </c>
      <c r="D19" s="31">
        <f t="shared" si="1"/>
        <v>20.64725179</v>
      </c>
      <c r="E19" s="26">
        <v>178025.0</v>
      </c>
      <c r="F19" s="31">
        <f t="shared" si="2"/>
        <v>44.61321017</v>
      </c>
      <c r="G19" s="26">
        <v>96974.0</v>
      </c>
      <c r="H19" s="31">
        <f t="shared" si="3"/>
        <v>24.30176348</v>
      </c>
      <c r="I19" s="26">
        <v>37257.0</v>
      </c>
      <c r="J19" s="31">
        <f t="shared" si="4"/>
        <v>9.336634581</v>
      </c>
      <c r="K19" s="41"/>
    </row>
    <row r="20">
      <c r="A20" s="25" t="s">
        <v>57</v>
      </c>
      <c r="B20" s="26">
        <v>347320.0</v>
      </c>
      <c r="C20" s="26">
        <v>49715.0</v>
      </c>
      <c r="D20" s="31">
        <f t="shared" si="1"/>
        <v>14.31388921</v>
      </c>
      <c r="E20" s="26">
        <v>238310.0</v>
      </c>
      <c r="F20" s="31">
        <f t="shared" si="2"/>
        <v>68.61395831</v>
      </c>
      <c r="G20" s="26">
        <v>52324.0</v>
      </c>
      <c r="H20" s="31">
        <f t="shared" si="3"/>
        <v>15.06506968</v>
      </c>
      <c r="I20" s="26">
        <v>5224.0</v>
      </c>
      <c r="J20" s="31">
        <f t="shared" si="4"/>
        <v>1.504088449</v>
      </c>
      <c r="K20" s="41"/>
    </row>
    <row r="21" ht="15.75" customHeight="1">
      <c r="A21" s="25" t="s">
        <v>59</v>
      </c>
      <c r="B21" s="26">
        <v>488113.0</v>
      </c>
      <c r="C21" s="26">
        <v>125286.0</v>
      </c>
      <c r="D21" s="31">
        <f t="shared" si="1"/>
        <v>25.66741718</v>
      </c>
      <c r="E21" s="26">
        <v>170830.0</v>
      </c>
      <c r="F21" s="31">
        <f t="shared" si="2"/>
        <v>34.99804349</v>
      </c>
      <c r="G21" s="26">
        <v>151864.0</v>
      </c>
      <c r="H21" s="31">
        <f t="shared" si="3"/>
        <v>31.11246781</v>
      </c>
      <c r="I21" s="26">
        <v>40132.0</v>
      </c>
      <c r="J21" s="31">
        <f t="shared" si="4"/>
        <v>8.221866658</v>
      </c>
      <c r="K21" s="41"/>
    </row>
    <row r="22" ht="15.75" customHeight="1">
      <c r="A22" s="25" t="s">
        <v>60</v>
      </c>
      <c r="B22" s="26">
        <v>389414.0</v>
      </c>
      <c r="C22" s="26">
        <v>67423.0</v>
      </c>
      <c r="D22" s="31">
        <f t="shared" si="1"/>
        <v>17.31396406</v>
      </c>
      <c r="E22" s="26">
        <v>192300.0</v>
      </c>
      <c r="F22" s="31">
        <f t="shared" si="2"/>
        <v>49.38189177</v>
      </c>
      <c r="G22" s="26">
        <v>110150.0</v>
      </c>
      <c r="H22" s="31">
        <f t="shared" si="3"/>
        <v>28.28609141</v>
      </c>
      <c r="I22" s="26">
        <v>15213.0</v>
      </c>
      <c r="J22" s="31">
        <f t="shared" si="4"/>
        <v>3.906639207</v>
      </c>
      <c r="K22" s="41"/>
    </row>
    <row r="23" ht="15.75" customHeight="1">
      <c r="A23" s="25" t="s">
        <v>63</v>
      </c>
      <c r="B23" s="26">
        <v>341703.0</v>
      </c>
      <c r="C23" s="26">
        <v>113229.0</v>
      </c>
      <c r="D23" s="31">
        <f t="shared" si="1"/>
        <v>33.13667132</v>
      </c>
      <c r="E23" s="26">
        <v>137622.0</v>
      </c>
      <c r="F23" s="31">
        <f t="shared" si="2"/>
        <v>40.27532682</v>
      </c>
      <c r="G23" s="26">
        <v>70852.0</v>
      </c>
      <c r="H23" s="31">
        <f t="shared" si="3"/>
        <v>20.73496575</v>
      </c>
      <c r="I23" s="26">
        <v>20000.0</v>
      </c>
      <c r="J23" s="31">
        <f t="shared" si="4"/>
        <v>5.853036116</v>
      </c>
      <c r="K23" s="41"/>
    </row>
    <row r="24" ht="15.75" customHeight="1">
      <c r="A24" s="25" t="s">
        <v>64</v>
      </c>
      <c r="B24" s="26">
        <v>434300.0</v>
      </c>
      <c r="C24" s="26">
        <v>137314.0</v>
      </c>
      <c r="D24" s="31">
        <f t="shared" si="1"/>
        <v>31.61731522</v>
      </c>
      <c r="E24" s="26">
        <v>213902.0</v>
      </c>
      <c r="F24" s="31">
        <f t="shared" si="2"/>
        <v>49.25212986</v>
      </c>
      <c r="G24" s="26">
        <v>50301.0</v>
      </c>
      <c r="H24" s="31">
        <f t="shared" si="3"/>
        <v>11.58208612</v>
      </c>
      <c r="I24" s="26">
        <v>22966.0</v>
      </c>
      <c r="J24" s="31">
        <f t="shared" si="4"/>
        <v>5.288049735</v>
      </c>
      <c r="K24" s="41"/>
    </row>
    <row r="25" ht="15.75" customHeight="1">
      <c r="A25" s="25" t="s">
        <v>65</v>
      </c>
      <c r="B25" s="26">
        <v>576944.0</v>
      </c>
      <c r="C25" s="26">
        <v>78025.0</v>
      </c>
      <c r="D25" s="31">
        <f t="shared" si="1"/>
        <v>13.52384287</v>
      </c>
      <c r="E25" s="26">
        <v>423573.0</v>
      </c>
      <c r="F25" s="31">
        <f t="shared" si="2"/>
        <v>73.41665742</v>
      </c>
      <c r="G25" s="26">
        <v>74825.0</v>
      </c>
      <c r="H25" s="31">
        <f t="shared" si="3"/>
        <v>12.96919632</v>
      </c>
      <c r="I25" s="26">
        <v>959.0</v>
      </c>
      <c r="J25" s="31">
        <f t="shared" si="4"/>
        <v>0.1662206384</v>
      </c>
      <c r="K25" s="41"/>
    </row>
    <row r="26" ht="15.75" customHeight="1">
      <c r="A26" s="28"/>
      <c r="B26" s="28"/>
      <c r="C26" s="28"/>
      <c r="D26" s="28"/>
      <c r="E26" s="28"/>
      <c r="F26" s="28"/>
      <c r="G26" s="28"/>
      <c r="H26" s="28"/>
      <c r="I26" s="28"/>
      <c r="J26" s="28"/>
    </row>
    <row r="27" ht="15.75" customHeight="1">
      <c r="A27" s="9"/>
      <c r="B27" s="9"/>
      <c r="C27" s="9"/>
      <c r="D27" s="9"/>
      <c r="E27" s="9"/>
      <c r="F27" s="9"/>
      <c r="G27" s="9"/>
      <c r="H27" s="9"/>
    </row>
    <row r="28" ht="15.75" customHeight="1">
      <c r="A28" s="29" t="s">
        <v>69</v>
      </c>
      <c r="B28" s="29"/>
      <c r="C28" s="29"/>
      <c r="D28" s="29"/>
      <c r="E28" s="29"/>
      <c r="F28" s="29"/>
      <c r="G28" s="29"/>
      <c r="H28" s="29"/>
      <c r="I28" s="29"/>
      <c r="J28" s="29"/>
      <c r="K28" s="30"/>
      <c r="L28" s="30"/>
      <c r="M28" s="30"/>
      <c r="N28" s="30"/>
      <c r="O28" s="30"/>
      <c r="P28" s="30"/>
      <c r="Q28" s="30"/>
    </row>
    <row r="29" ht="15.75" customHeight="1">
      <c r="A29" s="29" t="s">
        <v>72</v>
      </c>
      <c r="B29" s="29"/>
      <c r="C29" s="29"/>
      <c r="D29" s="29"/>
      <c r="E29" s="29"/>
      <c r="F29" s="29"/>
      <c r="G29" s="29"/>
      <c r="H29" s="29"/>
      <c r="I29" s="29"/>
      <c r="J29" s="29"/>
      <c r="K29" s="30"/>
      <c r="L29" s="30"/>
      <c r="M29" s="30"/>
      <c r="N29" s="30"/>
      <c r="O29" s="30"/>
      <c r="P29" s="30"/>
      <c r="Q29" s="30"/>
    </row>
    <row r="30" ht="15.75" customHeight="1">
      <c r="A30" s="29" t="s">
        <v>173</v>
      </c>
      <c r="B30" s="29"/>
      <c r="C30" s="29"/>
      <c r="D30" s="29"/>
      <c r="E30" s="29"/>
      <c r="F30" s="29"/>
      <c r="G30" s="29"/>
      <c r="H30" s="29"/>
      <c r="I30" s="29"/>
      <c r="J30" s="29"/>
      <c r="K30" s="30"/>
      <c r="L30" s="30"/>
      <c r="M30" s="30"/>
      <c r="N30" s="30"/>
      <c r="O30" s="30"/>
      <c r="P30" s="30"/>
      <c r="Q30" s="30"/>
    </row>
    <row r="31" ht="15.75" customHeight="1">
      <c r="A31" s="32" t="s">
        <v>76</v>
      </c>
    </row>
    <row r="32" ht="15.75" customHeight="1">
      <c r="A32" s="32"/>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A31:Q31"/>
    <mergeCell ref="A32:Q32"/>
    <mergeCell ref="A4:A6"/>
    <mergeCell ref="B4:B6"/>
    <mergeCell ref="C4:J4"/>
    <mergeCell ref="C5:D5"/>
    <mergeCell ref="E5:F5"/>
    <mergeCell ref="G5:H5"/>
    <mergeCell ref="I5:J5"/>
  </mergeCells>
  <hyperlinks>
    <hyperlink display="BACK TO LIST" location="LIST!A1" ref="A1"/>
  </hyperlinks>
  <printOptions/>
  <pageMargins bottom="0.75" footer="0.0" header="0.0" left="0.7" right="0.7" top="0.75"/>
  <pageSetup paperSize="9"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7"/>
    <pageSetUpPr/>
  </sheetPr>
  <sheetViews>
    <sheetView workbookViewId="0"/>
  </sheetViews>
  <sheetFormatPr customHeight="1" defaultColWidth="12.63" defaultRowHeight="15.0"/>
  <cols>
    <col customWidth="1" min="1" max="1" width="39.0"/>
    <col customWidth="1" min="2" max="14" width="14.0"/>
    <col customWidth="1" min="15" max="26" width="8.63"/>
  </cols>
  <sheetData>
    <row r="1">
      <c r="A1" s="5" t="s">
        <v>1</v>
      </c>
    </row>
    <row r="2" ht="15.0" customHeight="1">
      <c r="A2" s="6" t="s">
        <v>176</v>
      </c>
      <c r="B2" s="6"/>
      <c r="C2" s="6"/>
      <c r="D2" s="6"/>
    </row>
    <row r="3">
      <c r="A3" s="8"/>
      <c r="B3" s="9"/>
      <c r="C3" s="9"/>
      <c r="D3" s="9"/>
    </row>
    <row r="4">
      <c r="A4" s="10" t="s">
        <v>13</v>
      </c>
      <c r="B4" s="21" t="s">
        <v>159</v>
      </c>
      <c r="C4" s="42" t="s">
        <v>177</v>
      </c>
      <c r="D4" s="14"/>
      <c r="E4" s="14"/>
      <c r="F4" s="14"/>
      <c r="G4" s="14"/>
      <c r="H4" s="14"/>
      <c r="I4" s="14"/>
      <c r="J4" s="14"/>
      <c r="K4" s="14"/>
      <c r="L4" s="14"/>
      <c r="M4" s="14"/>
      <c r="N4" s="15"/>
    </row>
    <row r="5" ht="30.0" customHeight="1">
      <c r="A5" s="17"/>
      <c r="B5" s="17"/>
      <c r="C5" s="13" t="s">
        <v>178</v>
      </c>
      <c r="D5" s="15"/>
      <c r="E5" s="13" t="s">
        <v>179</v>
      </c>
      <c r="F5" s="15"/>
      <c r="G5" s="13" t="s">
        <v>180</v>
      </c>
      <c r="H5" s="15"/>
      <c r="I5" s="13" t="s">
        <v>181</v>
      </c>
      <c r="J5" s="15"/>
      <c r="K5" s="13" t="s">
        <v>182</v>
      </c>
      <c r="L5" s="15"/>
      <c r="M5" s="13" t="s">
        <v>170</v>
      </c>
      <c r="N5" s="15"/>
    </row>
    <row r="6">
      <c r="A6" s="18"/>
      <c r="B6" s="18"/>
      <c r="C6" s="24" t="s">
        <v>37</v>
      </c>
      <c r="D6" s="24" t="s">
        <v>39</v>
      </c>
      <c r="E6" s="24" t="s">
        <v>37</v>
      </c>
      <c r="F6" s="24" t="s">
        <v>39</v>
      </c>
      <c r="G6" s="24" t="s">
        <v>37</v>
      </c>
      <c r="H6" s="24" t="s">
        <v>39</v>
      </c>
      <c r="I6" s="24" t="s">
        <v>37</v>
      </c>
      <c r="J6" s="24" t="s">
        <v>39</v>
      </c>
      <c r="K6" s="24" t="s">
        <v>37</v>
      </c>
      <c r="L6" s="24" t="s">
        <v>39</v>
      </c>
      <c r="M6" s="24" t="s">
        <v>37</v>
      </c>
      <c r="N6" s="24" t="s">
        <v>39</v>
      </c>
    </row>
    <row r="7">
      <c r="A7" s="16"/>
      <c r="B7" s="20"/>
      <c r="C7" s="20"/>
      <c r="D7" s="20"/>
      <c r="E7" s="20"/>
      <c r="F7" s="20"/>
      <c r="G7" s="20"/>
      <c r="H7" s="20"/>
      <c r="I7" s="20"/>
      <c r="J7" s="20"/>
      <c r="K7" s="20"/>
      <c r="L7" s="20"/>
      <c r="M7" s="20"/>
      <c r="N7" s="20"/>
    </row>
    <row r="8">
      <c r="A8" s="22" t="s">
        <v>33</v>
      </c>
      <c r="B8" s="23">
        <v>7.2989986E7</v>
      </c>
      <c r="C8" s="23">
        <v>4883635.0</v>
      </c>
      <c r="D8" s="27">
        <f t="shared" ref="D8:D25" si="1">(C8/$B8)*100</f>
        <v>6.690828794</v>
      </c>
      <c r="E8" s="23">
        <v>8332250.0</v>
      </c>
      <c r="F8" s="27">
        <f t="shared" ref="F8:F25" si="2">(E8/$B8)*100</f>
        <v>11.41560707</v>
      </c>
      <c r="G8" s="23">
        <v>2134333.0</v>
      </c>
      <c r="H8" s="27">
        <f t="shared" ref="H8:H25" si="3">(G8/$B8)*100</f>
        <v>2.924144964</v>
      </c>
      <c r="I8" s="23">
        <v>3083032.0</v>
      </c>
      <c r="J8" s="27">
        <f t="shared" ref="J8:J25" si="4">(I8/$B8)*100</f>
        <v>4.223910935</v>
      </c>
      <c r="K8" s="23">
        <v>5.4540047E7</v>
      </c>
      <c r="L8" s="27">
        <f t="shared" ref="L8:L25" si="5">(K8/$B8)*100</f>
        <v>74.72264346</v>
      </c>
      <c r="M8" s="23">
        <v>665541.0</v>
      </c>
      <c r="N8" s="27">
        <f t="shared" ref="N8:N25" si="6">(M8/$B8)*100</f>
        <v>0.9118250824</v>
      </c>
      <c r="P8" s="43"/>
    </row>
    <row r="9">
      <c r="A9" s="25" t="s">
        <v>38</v>
      </c>
      <c r="B9" s="26">
        <v>1.0953079E7</v>
      </c>
      <c r="C9" s="26">
        <v>652608.0</v>
      </c>
      <c r="D9" s="31">
        <f t="shared" si="1"/>
        <v>5.958215037</v>
      </c>
      <c r="E9" s="26">
        <v>868748.0</v>
      </c>
      <c r="F9" s="31">
        <f t="shared" si="2"/>
        <v>7.931541441</v>
      </c>
      <c r="G9" s="26">
        <v>210371.0</v>
      </c>
      <c r="H9" s="31">
        <f t="shared" si="3"/>
        <v>1.920656283</v>
      </c>
      <c r="I9" s="26">
        <v>352841.0</v>
      </c>
      <c r="J9" s="31">
        <f t="shared" si="4"/>
        <v>3.221386425</v>
      </c>
      <c r="K9" s="26">
        <v>8881891.0</v>
      </c>
      <c r="L9" s="31">
        <f t="shared" si="5"/>
        <v>81.09035825</v>
      </c>
      <c r="M9" s="26">
        <v>80039.0</v>
      </c>
      <c r="N9" s="31">
        <f t="shared" si="6"/>
        <v>0.7307442957</v>
      </c>
    </row>
    <row r="10">
      <c r="A10" s="25" t="s">
        <v>41</v>
      </c>
      <c r="B10" s="26">
        <v>1278264.0</v>
      </c>
      <c r="C10" s="26">
        <v>103654.0</v>
      </c>
      <c r="D10" s="31">
        <f t="shared" si="1"/>
        <v>8.108966536</v>
      </c>
      <c r="E10" s="26">
        <v>332694.0</v>
      </c>
      <c r="F10" s="31">
        <f t="shared" si="2"/>
        <v>26.02701789</v>
      </c>
      <c r="G10" s="26">
        <v>51103.0</v>
      </c>
      <c r="H10" s="31">
        <f t="shared" si="3"/>
        <v>3.997843951</v>
      </c>
      <c r="I10" s="26">
        <v>88462.0</v>
      </c>
      <c r="J10" s="31">
        <f t="shared" si="4"/>
        <v>6.920479651</v>
      </c>
      <c r="K10" s="26">
        <v>738591.0</v>
      </c>
      <c r="L10" s="31">
        <f t="shared" si="5"/>
        <v>57.78078707</v>
      </c>
      <c r="M10" s="26">
        <v>8493.0</v>
      </c>
      <c r="N10" s="31">
        <f t="shared" si="6"/>
        <v>0.6644167402</v>
      </c>
    </row>
    <row r="11">
      <c r="A11" s="25" t="s">
        <v>43</v>
      </c>
      <c r="B11" s="26">
        <v>3690995.0</v>
      </c>
      <c r="C11" s="26">
        <v>166998.0</v>
      </c>
      <c r="D11" s="31">
        <f t="shared" si="1"/>
        <v>4.524471044</v>
      </c>
      <c r="E11" s="26">
        <v>761215.0</v>
      </c>
      <c r="F11" s="31">
        <f t="shared" si="2"/>
        <v>20.62357169</v>
      </c>
      <c r="G11" s="26">
        <v>163060.0</v>
      </c>
      <c r="H11" s="31">
        <f t="shared" si="3"/>
        <v>4.417778946</v>
      </c>
      <c r="I11" s="26">
        <v>268703.0</v>
      </c>
      <c r="J11" s="31">
        <f t="shared" si="4"/>
        <v>7.279961095</v>
      </c>
      <c r="K11" s="26">
        <v>2333201.0</v>
      </c>
      <c r="L11" s="31">
        <f t="shared" si="5"/>
        <v>63.21333407</v>
      </c>
      <c r="M11" s="26">
        <v>3622.0</v>
      </c>
      <c r="N11" s="31">
        <f t="shared" si="6"/>
        <v>0.09813072085</v>
      </c>
    </row>
    <row r="12">
      <c r="A12" s="25" t="s">
        <v>44</v>
      </c>
      <c r="B12" s="26">
        <v>2454608.0</v>
      </c>
      <c r="C12" s="26">
        <v>79050.0</v>
      </c>
      <c r="D12" s="31">
        <f t="shared" si="1"/>
        <v>3.220473493</v>
      </c>
      <c r="E12" s="26">
        <v>375411.0</v>
      </c>
      <c r="F12" s="31">
        <f t="shared" si="2"/>
        <v>15.29413251</v>
      </c>
      <c r="G12" s="26">
        <v>71533.0</v>
      </c>
      <c r="H12" s="31">
        <f t="shared" si="3"/>
        <v>2.914233148</v>
      </c>
      <c r="I12" s="26">
        <v>226673.0</v>
      </c>
      <c r="J12" s="31">
        <f t="shared" si="4"/>
        <v>9.234590615</v>
      </c>
      <c r="K12" s="26">
        <v>1682607.0</v>
      </c>
      <c r="L12" s="31">
        <f t="shared" si="5"/>
        <v>68.54890883</v>
      </c>
      <c r="M12" s="26">
        <v>28850.0</v>
      </c>
      <c r="N12" s="31">
        <f t="shared" si="6"/>
        <v>1.175340421</v>
      </c>
    </row>
    <row r="13">
      <c r="A13" s="25" t="s">
        <v>46</v>
      </c>
      <c r="B13" s="26">
        <v>9031169.0</v>
      </c>
      <c r="C13" s="26">
        <v>244177.0</v>
      </c>
      <c r="D13" s="31">
        <f t="shared" si="1"/>
        <v>2.703714215</v>
      </c>
      <c r="E13" s="26">
        <v>1130607.0</v>
      </c>
      <c r="F13" s="31">
        <f t="shared" si="2"/>
        <v>12.51894411</v>
      </c>
      <c r="G13" s="26">
        <v>339327.0</v>
      </c>
      <c r="H13" s="31">
        <f t="shared" si="3"/>
        <v>3.757287678</v>
      </c>
      <c r="I13" s="26">
        <v>251348.0</v>
      </c>
      <c r="J13" s="31">
        <f t="shared" si="4"/>
        <v>2.783117003</v>
      </c>
      <c r="K13" s="26">
        <v>7076712.0</v>
      </c>
      <c r="L13" s="31">
        <f t="shared" si="5"/>
        <v>78.35875954</v>
      </c>
      <c r="M13" s="26">
        <v>26853.0</v>
      </c>
      <c r="N13" s="31">
        <f t="shared" si="6"/>
        <v>0.2973369228</v>
      </c>
    </row>
    <row r="14">
      <c r="A14" s="25" t="s">
        <v>48</v>
      </c>
      <c r="B14" s="26">
        <v>1.2098018E7</v>
      </c>
      <c r="C14" s="26">
        <v>1014060.0</v>
      </c>
      <c r="D14" s="31">
        <f t="shared" si="1"/>
        <v>8.382034148</v>
      </c>
      <c r="E14" s="26">
        <v>943927.0</v>
      </c>
      <c r="F14" s="31">
        <f t="shared" si="2"/>
        <v>7.802327621</v>
      </c>
      <c r="G14" s="26">
        <v>241450.0</v>
      </c>
      <c r="H14" s="31">
        <f t="shared" si="3"/>
        <v>1.995781458</v>
      </c>
      <c r="I14" s="26">
        <v>278432.0</v>
      </c>
      <c r="J14" s="31">
        <f t="shared" si="4"/>
        <v>2.301467893</v>
      </c>
      <c r="K14" s="26">
        <v>9519762.0</v>
      </c>
      <c r="L14" s="31">
        <f t="shared" si="5"/>
        <v>78.68860833</v>
      </c>
      <c r="M14" s="26">
        <v>199953.0</v>
      </c>
      <c r="N14" s="31">
        <f t="shared" si="6"/>
        <v>1.652774859</v>
      </c>
    </row>
    <row r="15">
      <c r="A15" s="25" t="s">
        <v>50</v>
      </c>
      <c r="B15" s="26">
        <v>1905284.0</v>
      </c>
      <c r="C15" s="26">
        <v>132075.0</v>
      </c>
      <c r="D15" s="31">
        <f t="shared" si="1"/>
        <v>6.932037429</v>
      </c>
      <c r="E15" s="26">
        <v>352871.0</v>
      </c>
      <c r="F15" s="31">
        <f t="shared" si="2"/>
        <v>18.52065099</v>
      </c>
      <c r="G15" s="26">
        <v>77609.0</v>
      </c>
      <c r="H15" s="31">
        <f t="shared" si="3"/>
        <v>4.073355993</v>
      </c>
      <c r="I15" s="26">
        <v>93165.0</v>
      </c>
      <c r="J15" s="31">
        <f t="shared" si="4"/>
        <v>4.8898222</v>
      </c>
      <c r="K15" s="26">
        <v>1230557.0</v>
      </c>
      <c r="L15" s="31">
        <f t="shared" si="5"/>
        <v>64.58653933</v>
      </c>
      <c r="M15" s="26">
        <v>44592.0</v>
      </c>
      <c r="N15" s="31">
        <f t="shared" si="6"/>
        <v>2.340438486</v>
      </c>
    </row>
    <row r="16">
      <c r="A16" s="25" t="s">
        <v>51</v>
      </c>
      <c r="B16" s="26">
        <v>3580110.0</v>
      </c>
      <c r="C16" s="26">
        <v>148774.0</v>
      </c>
      <c r="D16" s="31">
        <f t="shared" si="1"/>
        <v>4.155570639</v>
      </c>
      <c r="E16" s="26">
        <v>531567.0</v>
      </c>
      <c r="F16" s="31">
        <f t="shared" si="2"/>
        <v>14.84778401</v>
      </c>
      <c r="G16" s="26">
        <v>66701.0</v>
      </c>
      <c r="H16" s="31">
        <f t="shared" si="3"/>
        <v>1.863099179</v>
      </c>
      <c r="I16" s="26">
        <v>130357.0</v>
      </c>
      <c r="J16" s="31">
        <f t="shared" si="4"/>
        <v>3.641145104</v>
      </c>
      <c r="K16" s="26">
        <v>2709645.0</v>
      </c>
      <c r="L16" s="31">
        <f t="shared" si="5"/>
        <v>75.68608227</v>
      </c>
      <c r="M16" s="26">
        <v>42149.0</v>
      </c>
      <c r="N16" s="31">
        <f t="shared" si="6"/>
        <v>1.177310194</v>
      </c>
    </row>
    <row r="17">
      <c r="A17" s="25" t="s">
        <v>53</v>
      </c>
      <c r="B17" s="26">
        <v>4997303.0</v>
      </c>
      <c r="C17" s="26">
        <v>331894.0</v>
      </c>
      <c r="D17" s="31">
        <f t="shared" si="1"/>
        <v>6.641462405</v>
      </c>
      <c r="E17" s="26">
        <v>606803.0</v>
      </c>
      <c r="F17" s="31">
        <f t="shared" si="2"/>
        <v>12.14260972</v>
      </c>
      <c r="G17" s="26">
        <v>115088.0</v>
      </c>
      <c r="H17" s="31">
        <f t="shared" si="3"/>
        <v>2.303002239</v>
      </c>
      <c r="I17" s="26">
        <v>178732.0</v>
      </c>
      <c r="J17" s="31">
        <f t="shared" si="4"/>
        <v>3.576569201</v>
      </c>
      <c r="K17" s="26">
        <v>3780626.0</v>
      </c>
      <c r="L17" s="31">
        <f t="shared" si="5"/>
        <v>75.6533274</v>
      </c>
      <c r="M17" s="26">
        <v>13654.0</v>
      </c>
      <c r="N17" s="31">
        <f t="shared" si="6"/>
        <v>0.2732273788</v>
      </c>
    </row>
    <row r="18">
      <c r="A18" s="25" t="s">
        <v>54</v>
      </c>
      <c r="B18" s="26">
        <v>5303296.0</v>
      </c>
      <c r="C18" s="26">
        <v>232552.0</v>
      </c>
      <c r="D18" s="31">
        <f t="shared" si="1"/>
        <v>4.385046582</v>
      </c>
      <c r="E18" s="26">
        <v>349238.0</v>
      </c>
      <c r="F18" s="31">
        <f t="shared" si="2"/>
        <v>6.585300915</v>
      </c>
      <c r="G18" s="26">
        <v>139987.0</v>
      </c>
      <c r="H18" s="31">
        <f t="shared" si="3"/>
        <v>2.639622605</v>
      </c>
      <c r="I18" s="26">
        <v>331055.0</v>
      </c>
      <c r="J18" s="31">
        <f t="shared" si="4"/>
        <v>6.242438665</v>
      </c>
      <c r="K18" s="26">
        <v>4270866.0</v>
      </c>
      <c r="L18" s="31">
        <f t="shared" si="5"/>
        <v>80.53229539</v>
      </c>
      <c r="M18" s="26">
        <v>31165.0</v>
      </c>
      <c r="N18" s="31">
        <f t="shared" si="6"/>
        <v>0.587653414</v>
      </c>
    </row>
    <row r="19">
      <c r="A19" s="25" t="s">
        <v>56</v>
      </c>
      <c r="B19" s="26">
        <v>2707991.0</v>
      </c>
      <c r="C19" s="26">
        <v>225430.0</v>
      </c>
      <c r="D19" s="31">
        <f t="shared" si="1"/>
        <v>8.324621463</v>
      </c>
      <c r="E19" s="26">
        <v>301428.0</v>
      </c>
      <c r="F19" s="31">
        <f t="shared" si="2"/>
        <v>11.1310562</v>
      </c>
      <c r="G19" s="26">
        <v>40970.0</v>
      </c>
      <c r="H19" s="31">
        <f t="shared" si="3"/>
        <v>1.512929696</v>
      </c>
      <c r="I19" s="26">
        <v>85526.0</v>
      </c>
      <c r="J19" s="31">
        <f t="shared" si="4"/>
        <v>3.158282284</v>
      </c>
      <c r="K19" s="26">
        <v>2043178.0</v>
      </c>
      <c r="L19" s="31">
        <f t="shared" si="5"/>
        <v>75.44995534</v>
      </c>
      <c r="M19" s="26">
        <v>27647.0</v>
      </c>
      <c r="N19" s="31">
        <f t="shared" si="6"/>
        <v>1.020941355</v>
      </c>
    </row>
    <row r="20">
      <c r="A20" s="25" t="s">
        <v>57</v>
      </c>
      <c r="B20" s="26">
        <v>2017060.0</v>
      </c>
      <c r="C20" s="26">
        <v>200073.0</v>
      </c>
      <c r="D20" s="31">
        <f t="shared" si="1"/>
        <v>9.919040584</v>
      </c>
      <c r="E20" s="26">
        <v>140378.0</v>
      </c>
      <c r="F20" s="31">
        <f t="shared" si="2"/>
        <v>6.959535165</v>
      </c>
      <c r="G20" s="26">
        <v>157519.0</v>
      </c>
      <c r="H20" s="31">
        <f t="shared" si="3"/>
        <v>7.809336361</v>
      </c>
      <c r="I20" s="26">
        <v>117891.0</v>
      </c>
      <c r="J20" s="31">
        <f t="shared" si="4"/>
        <v>5.844694754</v>
      </c>
      <c r="K20" s="26">
        <v>1399895.0</v>
      </c>
      <c r="L20" s="31">
        <f t="shared" si="5"/>
        <v>69.40274459</v>
      </c>
      <c r="M20" s="26">
        <v>6051.0</v>
      </c>
      <c r="N20" s="31">
        <f t="shared" si="6"/>
        <v>0.2999910761</v>
      </c>
    </row>
    <row r="21" ht="15.75" customHeight="1">
      <c r="A21" s="25" t="s">
        <v>59</v>
      </c>
      <c r="B21" s="26">
        <v>3199745.0</v>
      </c>
      <c r="C21" s="26">
        <v>174838.0</v>
      </c>
      <c r="D21" s="31">
        <f t="shared" si="1"/>
        <v>5.464122922</v>
      </c>
      <c r="E21" s="26">
        <v>230161.0</v>
      </c>
      <c r="F21" s="31">
        <f t="shared" si="2"/>
        <v>7.193104451</v>
      </c>
      <c r="G21" s="26">
        <v>36300.0</v>
      </c>
      <c r="H21" s="31">
        <f t="shared" si="3"/>
        <v>1.134465403</v>
      </c>
      <c r="I21" s="26">
        <v>170157.0</v>
      </c>
      <c r="J21" s="31">
        <f t="shared" si="4"/>
        <v>5.317830015</v>
      </c>
      <c r="K21" s="26">
        <v>2574413.0</v>
      </c>
      <c r="L21" s="31">
        <f t="shared" si="5"/>
        <v>80.45681765</v>
      </c>
      <c r="M21" s="26">
        <v>29573.0</v>
      </c>
      <c r="N21" s="31">
        <f t="shared" si="6"/>
        <v>0.9242298996</v>
      </c>
    </row>
    <row r="22" ht="15.75" customHeight="1">
      <c r="A22" s="25" t="s">
        <v>60</v>
      </c>
      <c r="B22" s="26">
        <v>3037809.0</v>
      </c>
      <c r="C22" s="26">
        <v>251473.0</v>
      </c>
      <c r="D22" s="31">
        <f t="shared" si="1"/>
        <v>8.278104384</v>
      </c>
      <c r="E22" s="26">
        <v>331647.0</v>
      </c>
      <c r="F22" s="31">
        <f t="shared" si="2"/>
        <v>10.91730915</v>
      </c>
      <c r="G22" s="26">
        <v>117792.0</v>
      </c>
      <c r="H22" s="31">
        <f t="shared" si="3"/>
        <v>3.877531471</v>
      </c>
      <c r="I22" s="26">
        <v>157823.0</v>
      </c>
      <c r="J22" s="31">
        <f t="shared" si="4"/>
        <v>5.195290421</v>
      </c>
      <c r="K22" s="26">
        <v>2193021.0</v>
      </c>
      <c r="L22" s="31">
        <f t="shared" si="5"/>
        <v>72.19087836</v>
      </c>
      <c r="M22" s="26">
        <v>4838.0</v>
      </c>
      <c r="N22" s="31">
        <f t="shared" si="6"/>
        <v>0.1592595189</v>
      </c>
    </row>
    <row r="23" ht="15.75" customHeight="1">
      <c r="A23" s="25" t="s">
        <v>63</v>
      </c>
      <c r="B23" s="26">
        <v>2416167.0</v>
      </c>
      <c r="C23" s="26">
        <v>163577.0</v>
      </c>
      <c r="D23" s="31">
        <f t="shared" si="1"/>
        <v>6.770103225</v>
      </c>
      <c r="E23" s="26">
        <v>216461.0</v>
      </c>
      <c r="F23" s="31">
        <f t="shared" si="2"/>
        <v>8.958859218</v>
      </c>
      <c r="G23" s="26">
        <v>53439.0</v>
      </c>
      <c r="H23" s="31">
        <f t="shared" si="3"/>
        <v>2.211726259</v>
      </c>
      <c r="I23" s="26">
        <v>29613.0</v>
      </c>
      <c r="J23" s="31">
        <f t="shared" si="4"/>
        <v>1.225618925</v>
      </c>
      <c r="K23" s="26">
        <v>1888071.0</v>
      </c>
      <c r="L23" s="31">
        <f t="shared" si="5"/>
        <v>78.14323265</v>
      </c>
      <c r="M23" s="26">
        <v>75021.0</v>
      </c>
      <c r="N23" s="31">
        <f t="shared" si="6"/>
        <v>3.104959218</v>
      </c>
    </row>
    <row r="24" ht="15.75" customHeight="1">
      <c r="A24" s="25" t="s">
        <v>64</v>
      </c>
      <c r="B24" s="26">
        <v>1709641.0</v>
      </c>
      <c r="C24" s="26">
        <v>117114.0</v>
      </c>
      <c r="D24" s="31">
        <f t="shared" si="1"/>
        <v>6.850210073</v>
      </c>
      <c r="E24" s="26">
        <v>335825.0</v>
      </c>
      <c r="F24" s="31">
        <f t="shared" si="2"/>
        <v>19.64301277</v>
      </c>
      <c r="G24" s="26">
        <v>34377.0</v>
      </c>
      <c r="H24" s="31">
        <f t="shared" si="3"/>
        <v>2.010773022</v>
      </c>
      <c r="I24" s="26">
        <v>109943.0</v>
      </c>
      <c r="J24" s="31">
        <f t="shared" si="4"/>
        <v>6.430765289</v>
      </c>
      <c r="K24" s="26">
        <v>1099259.0</v>
      </c>
      <c r="L24" s="31">
        <f t="shared" si="5"/>
        <v>64.29765079</v>
      </c>
      <c r="M24" s="26">
        <v>34555.0</v>
      </c>
      <c r="N24" s="31">
        <f t="shared" si="6"/>
        <v>2.021184564</v>
      </c>
    </row>
    <row r="25" ht="15.75" customHeight="1">
      <c r="A25" s="25" t="s">
        <v>65</v>
      </c>
      <c r="B25" s="26">
        <v>2609448.0</v>
      </c>
      <c r="C25" s="26">
        <v>645288.0</v>
      </c>
      <c r="D25" s="31">
        <f t="shared" si="1"/>
        <v>24.72890818</v>
      </c>
      <c r="E25" s="26">
        <v>523269.0</v>
      </c>
      <c r="F25" s="31">
        <f t="shared" si="2"/>
        <v>20.05286175</v>
      </c>
      <c r="G25" s="26">
        <v>217706.0</v>
      </c>
      <c r="H25" s="31">
        <f t="shared" si="3"/>
        <v>8.342990548</v>
      </c>
      <c r="I25" s="26">
        <v>212311.0</v>
      </c>
      <c r="J25" s="31">
        <f t="shared" si="4"/>
        <v>8.136241841</v>
      </c>
      <c r="K25" s="26">
        <v>1117753.0</v>
      </c>
      <c r="L25" s="31">
        <f t="shared" si="5"/>
        <v>42.83484476</v>
      </c>
      <c r="M25" s="26">
        <v>8486.0</v>
      </c>
      <c r="N25" s="31">
        <f t="shared" si="6"/>
        <v>0.3252028782</v>
      </c>
    </row>
    <row r="26" ht="15.75" customHeight="1">
      <c r="A26" s="28"/>
      <c r="B26" s="28"/>
      <c r="C26" s="28"/>
      <c r="D26" s="28"/>
      <c r="E26" s="28"/>
      <c r="F26" s="28"/>
      <c r="G26" s="28"/>
      <c r="H26" s="28"/>
      <c r="I26" s="28"/>
      <c r="J26" s="28"/>
      <c r="K26" s="28"/>
      <c r="L26" s="28"/>
      <c r="M26" s="28"/>
      <c r="N26" s="28"/>
    </row>
    <row r="27" ht="15.75" customHeight="1">
      <c r="A27" s="9"/>
      <c r="B27" s="9"/>
      <c r="C27" s="9"/>
      <c r="D27" s="9"/>
    </row>
    <row r="28" ht="15.75" customHeight="1">
      <c r="A28" s="29" t="s">
        <v>69</v>
      </c>
      <c r="B28" s="29"/>
      <c r="C28" s="29"/>
      <c r="D28" s="29"/>
      <c r="E28" s="29"/>
      <c r="F28" s="29"/>
      <c r="G28" s="30"/>
      <c r="H28" s="30"/>
      <c r="I28" s="30"/>
      <c r="J28" s="30"/>
      <c r="K28" s="30"/>
      <c r="L28" s="30"/>
      <c r="M28" s="30"/>
    </row>
    <row r="29" ht="15.75" customHeight="1">
      <c r="A29" s="29" t="s">
        <v>72</v>
      </c>
      <c r="B29" s="29"/>
      <c r="C29" s="29"/>
      <c r="D29" s="29"/>
      <c r="E29" s="29"/>
      <c r="F29" s="29"/>
      <c r="G29" s="30"/>
      <c r="H29" s="30"/>
      <c r="I29" s="30"/>
      <c r="J29" s="30"/>
      <c r="K29" s="30"/>
      <c r="L29" s="30"/>
      <c r="M29" s="30"/>
    </row>
    <row r="30" ht="15.75" customHeight="1">
      <c r="A30" s="29" t="s">
        <v>186</v>
      </c>
      <c r="B30" s="29"/>
      <c r="C30" s="29"/>
      <c r="D30" s="29"/>
      <c r="E30" s="29"/>
      <c r="F30" s="29"/>
      <c r="G30" s="30"/>
      <c r="H30" s="30"/>
      <c r="I30" s="30"/>
      <c r="J30" s="30"/>
      <c r="K30" s="30"/>
      <c r="L30" s="30"/>
      <c r="M30" s="30"/>
    </row>
    <row r="31" ht="15.75" customHeight="1">
      <c r="A31" s="32" t="s">
        <v>76</v>
      </c>
    </row>
    <row r="32" ht="15.75" customHeight="1">
      <c r="A32" s="32"/>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
    <mergeCell ref="K5:L5"/>
    <mergeCell ref="M5:N5"/>
    <mergeCell ref="A31:M31"/>
    <mergeCell ref="A32:M32"/>
    <mergeCell ref="A4:A6"/>
    <mergeCell ref="B4:B6"/>
    <mergeCell ref="C4:N4"/>
    <mergeCell ref="C5:D5"/>
    <mergeCell ref="E5:F5"/>
    <mergeCell ref="G5:H5"/>
    <mergeCell ref="I5:J5"/>
  </mergeCells>
  <hyperlinks>
    <hyperlink display="BACK TO LIST" location="LIST!A1" ref="A1"/>
  </hyperlinks>
  <printOptions/>
  <pageMargins bottom="0.75" footer="0.0" header="0.0" left="0.7" right="0.7" top="0.75"/>
  <pageSetup paperSize="9" orientation="portrait"/>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9"/>
    <pageSetUpPr/>
  </sheetPr>
  <sheetViews>
    <sheetView workbookViewId="0"/>
  </sheetViews>
  <sheetFormatPr customHeight="1" defaultColWidth="12.63" defaultRowHeight="15.0"/>
  <cols>
    <col customWidth="1" min="1" max="1" width="39.0"/>
    <col customWidth="1" min="2" max="3" width="14.0"/>
    <col customWidth="1" min="4" max="26" width="8.63"/>
  </cols>
  <sheetData>
    <row r="1">
      <c r="A1" s="5" t="s">
        <v>1</v>
      </c>
    </row>
    <row r="2">
      <c r="A2" s="6" t="s">
        <v>183</v>
      </c>
      <c r="B2" s="6"/>
      <c r="C2" s="6"/>
    </row>
    <row r="3">
      <c r="A3" s="8"/>
      <c r="B3" s="9"/>
      <c r="C3" s="9"/>
    </row>
    <row r="4" ht="16.5" customHeight="1">
      <c r="A4" s="10" t="s">
        <v>13</v>
      </c>
      <c r="B4" s="13" t="s">
        <v>184</v>
      </c>
      <c r="C4" s="15"/>
    </row>
    <row r="5">
      <c r="A5" s="18"/>
      <c r="B5" s="11">
        <v>2019.0</v>
      </c>
      <c r="C5" s="11">
        <v>2024.0</v>
      </c>
    </row>
    <row r="6">
      <c r="A6" s="16"/>
      <c r="B6" s="20"/>
      <c r="C6" s="20"/>
    </row>
    <row r="7">
      <c r="A7" s="22" t="s">
        <v>33</v>
      </c>
      <c r="B7" s="44">
        <v>255.51179532996892</v>
      </c>
      <c r="C7" s="44">
        <v>265.3</v>
      </c>
    </row>
    <row r="8">
      <c r="A8" s="25" t="s">
        <v>38</v>
      </c>
      <c r="B8" s="45">
        <v>338.6867856754748</v>
      </c>
      <c r="C8" s="45">
        <v>320.3</v>
      </c>
    </row>
    <row r="9">
      <c r="A9" s="25" t="s">
        <v>41</v>
      </c>
      <c r="B9" s="45">
        <v>252.93832053613156</v>
      </c>
      <c r="C9" s="45">
        <v>281.5</v>
      </c>
    </row>
    <row r="10">
      <c r="A10" s="25" t="s">
        <v>43</v>
      </c>
      <c r="B10" s="45">
        <v>186.50589362487992</v>
      </c>
      <c r="C10" s="45">
        <v>284.5</v>
      </c>
    </row>
    <row r="11">
      <c r="A11" s="25" t="s">
        <v>44</v>
      </c>
      <c r="B11" s="45">
        <v>218.0558318739793</v>
      </c>
      <c r="C11" s="45">
        <v>271.5</v>
      </c>
    </row>
    <row r="12">
      <c r="A12" s="25" t="s">
        <v>46</v>
      </c>
      <c r="B12" s="45">
        <v>289.09803366238634</v>
      </c>
      <c r="C12" s="45">
        <v>289.4</v>
      </c>
    </row>
    <row r="13">
      <c r="A13" s="25" t="s">
        <v>48</v>
      </c>
      <c r="B13" s="45">
        <v>287.4390413041672</v>
      </c>
      <c r="C13" s="45">
        <v>240.4</v>
      </c>
    </row>
    <row r="14">
      <c r="A14" s="25" t="s">
        <v>50</v>
      </c>
      <c r="B14" s="45">
        <v>223.18947117253</v>
      </c>
      <c r="C14" s="45">
        <v>301.9</v>
      </c>
    </row>
    <row r="15">
      <c r="A15" s="25" t="s">
        <v>51</v>
      </c>
      <c r="B15" s="45">
        <v>185.38548521099102</v>
      </c>
      <c r="C15" s="45">
        <v>236.6</v>
      </c>
    </row>
    <row r="16">
      <c r="A16" s="25" t="s">
        <v>53</v>
      </c>
      <c r="B16" s="45">
        <v>311.0750354265483</v>
      </c>
      <c r="C16" s="45">
        <v>260.1</v>
      </c>
    </row>
    <row r="17">
      <c r="A17" s="25" t="s">
        <v>54</v>
      </c>
      <c r="B17" s="45">
        <v>195.33539431801404</v>
      </c>
      <c r="C17" s="45">
        <v>288.8</v>
      </c>
    </row>
    <row r="18">
      <c r="A18" s="25" t="s">
        <v>56</v>
      </c>
      <c r="B18" s="45">
        <v>219.41154620305088</v>
      </c>
      <c r="C18" s="45">
        <v>261.7</v>
      </c>
    </row>
    <row r="19">
      <c r="A19" s="25" t="s">
        <v>57</v>
      </c>
      <c r="B19" s="45">
        <v>173.92915372208066</v>
      </c>
      <c r="C19" s="45">
        <v>214.6</v>
      </c>
    </row>
    <row r="20">
      <c r="A20" s="25" t="s">
        <v>59</v>
      </c>
      <c r="B20" s="45">
        <v>190.49219155041038</v>
      </c>
      <c r="C20" s="45">
        <v>208.9</v>
      </c>
    </row>
    <row r="21" ht="15.75" customHeight="1">
      <c r="A21" s="25" t="s">
        <v>60</v>
      </c>
      <c r="B21" s="45">
        <v>253.56575962624063</v>
      </c>
      <c r="C21" s="45">
        <v>209.4</v>
      </c>
    </row>
    <row r="22" ht="15.75" customHeight="1">
      <c r="A22" s="25" t="s">
        <v>63</v>
      </c>
      <c r="B22" s="45">
        <v>175.42562404956996</v>
      </c>
      <c r="C22" s="45">
        <v>233.6</v>
      </c>
    </row>
    <row r="23" ht="15.75" customHeight="1">
      <c r="A23" s="25" t="s">
        <v>64</v>
      </c>
      <c r="B23" s="45">
        <v>155.75174947524766</v>
      </c>
      <c r="C23" s="45">
        <v>202.6</v>
      </c>
    </row>
    <row r="24" ht="15.75" customHeight="1">
      <c r="A24" s="25" t="s">
        <v>65</v>
      </c>
      <c r="B24" s="45">
        <v>126.95219004717936</v>
      </c>
      <c r="C24" s="45">
        <v>252.7</v>
      </c>
    </row>
    <row r="25" ht="15.75" customHeight="1">
      <c r="A25" s="28"/>
      <c r="B25" s="28"/>
      <c r="C25" s="28"/>
    </row>
    <row r="26" ht="15.75" customHeight="1">
      <c r="A26" s="9"/>
      <c r="B26" s="9"/>
      <c r="C26" s="9"/>
    </row>
    <row r="27" ht="15.75" customHeight="1">
      <c r="A27" s="29" t="s">
        <v>69</v>
      </c>
      <c r="B27" s="29"/>
      <c r="C27" s="29"/>
      <c r="D27" s="29"/>
      <c r="E27" s="29"/>
      <c r="F27" s="30"/>
      <c r="G27" s="30"/>
      <c r="H27" s="30"/>
      <c r="I27" s="30"/>
      <c r="J27" s="30"/>
      <c r="K27" s="30"/>
      <c r="L27" s="30"/>
    </row>
    <row r="28" ht="15.75" customHeight="1">
      <c r="A28" s="29" t="s">
        <v>185</v>
      </c>
      <c r="B28" s="29"/>
      <c r="C28" s="29"/>
      <c r="D28" s="29"/>
      <c r="E28" s="29"/>
      <c r="F28" s="30"/>
      <c r="G28" s="30"/>
      <c r="H28" s="30"/>
      <c r="I28" s="30"/>
      <c r="J28" s="30"/>
      <c r="K28" s="30"/>
      <c r="L28" s="30"/>
    </row>
    <row r="29" ht="15.75" customHeight="1">
      <c r="A29" s="32" t="s">
        <v>76</v>
      </c>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4:A5"/>
    <mergeCell ref="B4:C4"/>
    <mergeCell ref="A29:L29"/>
  </mergeCells>
  <hyperlinks>
    <hyperlink display="BACK TO LIST" location="LIST!A1" ref="A1"/>
  </hyperlinks>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9"/>
    <pageSetUpPr/>
  </sheetPr>
  <sheetViews>
    <sheetView workbookViewId="0"/>
  </sheetViews>
  <sheetFormatPr customHeight="1" defaultColWidth="12.63" defaultRowHeight="15.0"/>
  <cols>
    <col customWidth="1" min="1" max="1" width="39.0"/>
    <col customWidth="1" min="2" max="7" width="14.0"/>
    <col customWidth="1" min="8" max="26" width="8.63"/>
  </cols>
  <sheetData>
    <row r="1">
      <c r="A1" s="5" t="s">
        <v>1</v>
      </c>
      <c r="B1" s="5"/>
      <c r="C1" s="5"/>
      <c r="D1" s="5"/>
    </row>
    <row r="2" ht="15.0" customHeight="1">
      <c r="A2" s="33" t="s">
        <v>187</v>
      </c>
      <c r="B2" s="33"/>
      <c r="C2" s="33"/>
      <c r="D2" s="33"/>
      <c r="E2" s="7"/>
      <c r="F2" s="7"/>
      <c r="G2" s="7"/>
    </row>
    <row r="3">
      <c r="A3" s="8"/>
      <c r="B3" s="8"/>
      <c r="C3" s="8"/>
      <c r="D3" s="8"/>
      <c r="E3" s="9"/>
      <c r="F3" s="9"/>
      <c r="G3" s="9"/>
    </row>
    <row r="4">
      <c r="A4" s="10" t="s">
        <v>13</v>
      </c>
      <c r="B4" s="12">
        <v>2019.0</v>
      </c>
      <c r="C4" s="14"/>
      <c r="D4" s="15"/>
      <c r="E4" s="12">
        <v>2024.0</v>
      </c>
      <c r="F4" s="14"/>
      <c r="G4" s="15"/>
    </row>
    <row r="5" ht="28.5" customHeight="1">
      <c r="A5" s="17"/>
      <c r="B5" s="21" t="s">
        <v>26</v>
      </c>
      <c r="C5" s="46" t="s">
        <v>188</v>
      </c>
      <c r="D5" s="15"/>
      <c r="E5" s="21" t="s">
        <v>26</v>
      </c>
      <c r="F5" s="46" t="s">
        <v>188</v>
      </c>
      <c r="G5" s="15"/>
    </row>
    <row r="6">
      <c r="A6" s="18"/>
      <c r="B6" s="18"/>
      <c r="C6" s="24" t="s">
        <v>37</v>
      </c>
      <c r="D6" s="24" t="s">
        <v>39</v>
      </c>
      <c r="E6" s="18"/>
      <c r="F6" s="24" t="s">
        <v>37</v>
      </c>
      <c r="G6" s="24" t="s">
        <v>39</v>
      </c>
    </row>
    <row r="7">
      <c r="A7" s="16"/>
      <c r="B7" s="16"/>
      <c r="C7" s="16"/>
      <c r="D7" s="16"/>
      <c r="E7" s="20"/>
      <c r="F7" s="20"/>
      <c r="G7" s="20"/>
    </row>
    <row r="8">
      <c r="A8" s="22" t="s">
        <v>33</v>
      </c>
      <c r="B8" s="23">
        <f>'Estimated Totals'!B7</f>
        <v>23360960</v>
      </c>
      <c r="C8" s="23">
        <v>5557498.0</v>
      </c>
      <c r="D8" s="27">
        <f t="shared" ref="D8:D25" si="1">(C8/B8)*100</f>
        <v>23.78968159</v>
      </c>
      <c r="E8" s="23">
        <v>2.7793884E7</v>
      </c>
      <c r="F8" s="23">
        <v>3006985.0</v>
      </c>
      <c r="G8" s="27">
        <f t="shared" ref="G8:G25" si="2">(F8/E8)*100</f>
        <v>10.81887296</v>
      </c>
      <c r="K8" s="47"/>
      <c r="L8" s="35"/>
      <c r="M8" s="35"/>
      <c r="N8" s="35"/>
    </row>
    <row r="9">
      <c r="A9" s="25" t="s">
        <v>38</v>
      </c>
      <c r="B9" s="26">
        <f>'Estimated Totals'!B8</f>
        <v>3009545</v>
      </c>
      <c r="C9" s="26">
        <v>1117522.0</v>
      </c>
      <c r="D9" s="31">
        <f t="shared" si="1"/>
        <v>37.13258981</v>
      </c>
      <c r="E9" s="26">
        <v>3667731.0</v>
      </c>
      <c r="F9" s="26">
        <v>667137.0</v>
      </c>
      <c r="G9" s="31">
        <f t="shared" si="2"/>
        <v>18.18936558</v>
      </c>
      <c r="K9" s="47"/>
      <c r="L9" s="35"/>
      <c r="M9" s="35"/>
      <c r="N9" s="35"/>
    </row>
    <row r="10">
      <c r="A10" s="25" t="s">
        <v>41</v>
      </c>
      <c r="B10" s="26">
        <f>'Estimated Totals'!B9</f>
        <v>388188</v>
      </c>
      <c r="C10" s="26">
        <v>116362.0</v>
      </c>
      <c r="D10" s="31">
        <f t="shared" si="1"/>
        <v>29.97568189</v>
      </c>
      <c r="E10" s="26">
        <v>468413.0</v>
      </c>
      <c r="F10" s="26">
        <v>62352.0</v>
      </c>
      <c r="G10" s="31">
        <f t="shared" si="2"/>
        <v>13.31132996</v>
      </c>
      <c r="K10" s="47"/>
      <c r="L10" s="35"/>
      <c r="M10" s="35"/>
      <c r="N10" s="35"/>
    </row>
    <row r="11">
      <c r="A11" s="25" t="s">
        <v>43</v>
      </c>
      <c r="B11" s="26">
        <f>'Estimated Totals'!B10</f>
        <v>1250337</v>
      </c>
      <c r="C11" s="26">
        <v>291371.0</v>
      </c>
      <c r="D11" s="31">
        <f t="shared" si="1"/>
        <v>23.3033974</v>
      </c>
      <c r="E11" s="26">
        <v>1316881.0</v>
      </c>
      <c r="F11" s="26">
        <v>119488.0</v>
      </c>
      <c r="G11" s="31">
        <f t="shared" si="2"/>
        <v>9.073560937</v>
      </c>
      <c r="K11" s="47"/>
      <c r="L11" s="35"/>
      <c r="M11" s="35"/>
      <c r="N11" s="35"/>
    </row>
    <row r="12">
      <c r="A12" s="25" t="s">
        <v>44</v>
      </c>
      <c r="B12" s="26">
        <f>'Estimated Totals'!B11</f>
        <v>855893</v>
      </c>
      <c r="C12" s="26">
        <v>146921.0</v>
      </c>
      <c r="D12" s="31">
        <f t="shared" si="1"/>
        <v>17.16581395</v>
      </c>
      <c r="E12" s="26">
        <v>934252.0</v>
      </c>
      <c r="F12" s="26">
        <v>97834.0</v>
      </c>
      <c r="G12" s="31">
        <f t="shared" si="2"/>
        <v>10.47190694</v>
      </c>
      <c r="K12" s="47"/>
      <c r="L12" s="35"/>
      <c r="M12" s="35"/>
      <c r="N12" s="35"/>
    </row>
    <row r="13">
      <c r="A13" s="25" t="s">
        <v>46</v>
      </c>
      <c r="B13" s="26">
        <f>'Estimated Totals'!B12</f>
        <v>2823200</v>
      </c>
      <c r="C13" s="26">
        <v>654747.0</v>
      </c>
      <c r="D13" s="31">
        <f t="shared" si="1"/>
        <v>23.19166194</v>
      </c>
      <c r="E13" s="26">
        <v>3161851.0</v>
      </c>
      <c r="F13" s="26">
        <v>390356.0</v>
      </c>
      <c r="G13" s="31">
        <f t="shared" si="2"/>
        <v>12.3458063</v>
      </c>
      <c r="K13" s="47"/>
      <c r="L13" s="35"/>
      <c r="M13" s="35"/>
      <c r="N13" s="35"/>
    </row>
    <row r="14">
      <c r="A14" s="25" t="s">
        <v>48</v>
      </c>
      <c r="B14" s="26">
        <f>'Estimated Totals'!B13</f>
        <v>3486186</v>
      </c>
      <c r="C14" s="26">
        <v>1488913.0</v>
      </c>
      <c r="D14" s="31">
        <f t="shared" si="1"/>
        <v>42.7089375</v>
      </c>
      <c r="E14" s="26">
        <v>4369198.0</v>
      </c>
      <c r="F14" s="26">
        <v>580410.0</v>
      </c>
      <c r="G14" s="31">
        <f t="shared" si="2"/>
        <v>13.28413132</v>
      </c>
      <c r="K14" s="47"/>
      <c r="L14" s="35"/>
      <c r="M14" s="35"/>
      <c r="N14" s="35"/>
    </row>
    <row r="15">
      <c r="A15" s="25" t="s">
        <v>50</v>
      </c>
      <c r="B15" s="26">
        <f>'Estimated Totals'!B14</f>
        <v>686916</v>
      </c>
      <c r="C15" s="26">
        <v>99090.0</v>
      </c>
      <c r="D15" s="31">
        <f t="shared" si="1"/>
        <v>14.42534458</v>
      </c>
      <c r="E15" s="26">
        <v>828498.0</v>
      </c>
      <c r="F15" s="26">
        <v>63200.0</v>
      </c>
      <c r="G15" s="31">
        <f t="shared" si="2"/>
        <v>7.628262229</v>
      </c>
      <c r="K15" s="47"/>
      <c r="L15" s="35"/>
      <c r="M15" s="35"/>
      <c r="N15" s="35"/>
    </row>
    <row r="16">
      <c r="A16" s="25" t="s">
        <v>51</v>
      </c>
      <c r="B16" s="26">
        <f>'Estimated Totals'!B15</f>
        <v>1030986</v>
      </c>
      <c r="C16" s="26">
        <v>162411.0</v>
      </c>
      <c r="D16" s="31">
        <f t="shared" si="1"/>
        <v>15.75297822</v>
      </c>
      <c r="E16" s="26">
        <v>1384033.0</v>
      </c>
      <c r="F16" s="26">
        <v>137805.0</v>
      </c>
      <c r="G16" s="31">
        <f t="shared" si="2"/>
        <v>9.956771262</v>
      </c>
      <c r="K16" s="47"/>
      <c r="L16" s="35"/>
      <c r="M16" s="35"/>
      <c r="N16" s="35"/>
    </row>
    <row r="17">
      <c r="A17" s="25" t="s">
        <v>53</v>
      </c>
      <c r="B17" s="26">
        <f>'Estimated Totals'!B16</f>
        <v>1705556</v>
      </c>
      <c r="C17" s="26">
        <v>281295.0</v>
      </c>
      <c r="D17" s="31">
        <f t="shared" si="1"/>
        <v>16.49286215</v>
      </c>
      <c r="E17" s="26">
        <v>2040922.0</v>
      </c>
      <c r="F17" s="26">
        <v>129132.0</v>
      </c>
      <c r="G17" s="31">
        <f t="shared" si="2"/>
        <v>6.327140381</v>
      </c>
      <c r="K17" s="47"/>
      <c r="L17" s="35"/>
      <c r="M17" s="35"/>
      <c r="N17" s="35"/>
    </row>
    <row r="18">
      <c r="A18" s="25" t="s">
        <v>54</v>
      </c>
      <c r="B18" s="26">
        <f>'Estimated Totals'!B17</f>
        <v>1820052</v>
      </c>
      <c r="C18" s="26">
        <v>297076.0</v>
      </c>
      <c r="D18" s="31">
        <f t="shared" si="1"/>
        <v>16.32239079</v>
      </c>
      <c r="E18" s="26">
        <v>2077216.0</v>
      </c>
      <c r="F18" s="26">
        <v>189142.0</v>
      </c>
      <c r="G18" s="31">
        <f t="shared" si="2"/>
        <v>9.105552817</v>
      </c>
      <c r="K18" s="47"/>
      <c r="L18" s="35"/>
      <c r="M18" s="35"/>
      <c r="N18" s="35"/>
    </row>
    <row r="19">
      <c r="A19" s="25" t="s">
        <v>56</v>
      </c>
      <c r="B19" s="26">
        <f>'Estimated Totals'!B18</f>
        <v>1042723</v>
      </c>
      <c r="C19" s="26">
        <v>148345.0</v>
      </c>
      <c r="D19" s="31">
        <f t="shared" si="1"/>
        <v>14.226693</v>
      </c>
      <c r="E19" s="26">
        <v>1200913.0</v>
      </c>
      <c r="F19" s="26">
        <v>71688.0</v>
      </c>
      <c r="G19" s="31">
        <f t="shared" si="2"/>
        <v>5.969458237</v>
      </c>
      <c r="K19" s="47"/>
      <c r="L19" s="35"/>
      <c r="M19" s="35"/>
      <c r="N19" s="35"/>
    </row>
    <row r="20">
      <c r="A20" s="25" t="s">
        <v>57</v>
      </c>
      <c r="B20" s="26">
        <f>'Estimated Totals'!B19</f>
        <v>743735</v>
      </c>
      <c r="C20" s="26">
        <v>84974.0</v>
      </c>
      <c r="D20" s="31">
        <f t="shared" si="1"/>
        <v>11.42530606</v>
      </c>
      <c r="E20" s="26">
        <v>903490.0</v>
      </c>
      <c r="F20" s="26">
        <v>46837.0</v>
      </c>
      <c r="G20" s="31">
        <f t="shared" si="2"/>
        <v>5.184008677</v>
      </c>
      <c r="K20" s="47"/>
      <c r="L20" s="35"/>
      <c r="M20" s="35"/>
      <c r="N20" s="35"/>
    </row>
    <row r="21" ht="15.75" customHeight="1">
      <c r="A21" s="25" t="s">
        <v>59</v>
      </c>
      <c r="B21" s="26">
        <f>'Estimated Totals'!B20</f>
        <v>1058458</v>
      </c>
      <c r="C21" s="26">
        <v>152576.0</v>
      </c>
      <c r="D21" s="31">
        <f t="shared" si="1"/>
        <v>14.41493191</v>
      </c>
      <c r="E21" s="26">
        <v>1248516.0</v>
      </c>
      <c r="F21" s="26">
        <v>146395.0</v>
      </c>
      <c r="G21" s="31">
        <f t="shared" si="2"/>
        <v>11.72552054</v>
      </c>
      <c r="K21" s="47"/>
      <c r="L21" s="35"/>
      <c r="M21" s="35"/>
      <c r="N21" s="35"/>
    </row>
    <row r="22" ht="15.75" customHeight="1">
      <c r="A22" s="25" t="s">
        <v>60</v>
      </c>
      <c r="B22" s="26">
        <f>'Estimated Totals'!B21</f>
        <v>1273085</v>
      </c>
      <c r="C22" s="26">
        <v>212526.0</v>
      </c>
      <c r="D22" s="31">
        <f t="shared" si="1"/>
        <v>16.69377928</v>
      </c>
      <c r="E22" s="26">
        <v>1492292.0</v>
      </c>
      <c r="F22" s="26">
        <v>100970.0</v>
      </c>
      <c r="G22" s="31">
        <f t="shared" si="2"/>
        <v>6.766102077</v>
      </c>
      <c r="K22" s="47"/>
      <c r="L22" s="35"/>
      <c r="M22" s="35"/>
      <c r="N22" s="35"/>
    </row>
    <row r="23" ht="15.75" customHeight="1">
      <c r="A23" s="25" t="s">
        <v>63</v>
      </c>
      <c r="B23" s="26">
        <f>'Estimated Totals'!B22</f>
        <v>1063239</v>
      </c>
      <c r="C23" s="26">
        <v>162894.0</v>
      </c>
      <c r="D23" s="31">
        <f t="shared" si="1"/>
        <v>15.32054411</v>
      </c>
      <c r="E23" s="26">
        <v>1150631.0</v>
      </c>
      <c r="F23" s="26">
        <v>125471.0</v>
      </c>
      <c r="G23" s="31">
        <f t="shared" si="2"/>
        <v>10.90453847</v>
      </c>
      <c r="K23" s="47"/>
      <c r="L23" s="35"/>
      <c r="M23" s="35"/>
      <c r="N23" s="35"/>
    </row>
    <row r="24" ht="15.75" customHeight="1">
      <c r="A24" s="25" t="s">
        <v>64</v>
      </c>
      <c r="B24" s="26">
        <f>'Estimated Totals'!B23</f>
        <v>601512</v>
      </c>
      <c r="C24" s="26">
        <v>96216.0</v>
      </c>
      <c r="D24" s="31">
        <f t="shared" si="1"/>
        <v>15.99569086</v>
      </c>
      <c r="E24" s="26">
        <v>703005.0</v>
      </c>
      <c r="F24" s="26">
        <v>40695.0</v>
      </c>
      <c r="G24" s="31">
        <f t="shared" si="2"/>
        <v>5.788721275</v>
      </c>
      <c r="K24" s="47"/>
      <c r="L24" s="35"/>
      <c r="M24" s="35"/>
      <c r="N24" s="35"/>
    </row>
    <row r="25" ht="15.75" customHeight="1">
      <c r="A25" s="25" t="s">
        <v>65</v>
      </c>
      <c r="B25" s="26">
        <f>'Estimated Totals'!B24</f>
        <v>521349</v>
      </c>
      <c r="C25" s="26">
        <v>44261.0</v>
      </c>
      <c r="D25" s="31">
        <f t="shared" si="1"/>
        <v>8.489706511</v>
      </c>
      <c r="E25" s="26">
        <v>846042.0</v>
      </c>
      <c r="F25" s="26">
        <v>38074.0</v>
      </c>
      <c r="G25" s="31">
        <f t="shared" si="2"/>
        <v>4.500249397</v>
      </c>
      <c r="K25" s="47"/>
      <c r="L25" s="35"/>
      <c r="M25" s="35"/>
      <c r="N25" s="35"/>
    </row>
    <row r="26" ht="15.75" customHeight="1">
      <c r="A26" s="28"/>
      <c r="B26" s="28"/>
      <c r="C26" s="28"/>
      <c r="D26" s="28"/>
      <c r="E26" s="28"/>
      <c r="F26" s="28"/>
      <c r="G26" s="28"/>
    </row>
    <row r="27" ht="15.75" customHeight="1">
      <c r="A27" s="9"/>
      <c r="B27" s="9"/>
      <c r="C27" s="9"/>
      <c r="D27" s="9"/>
      <c r="E27" s="9"/>
      <c r="F27" s="9"/>
      <c r="G27" s="9"/>
    </row>
    <row r="28" ht="15.75" customHeight="1">
      <c r="A28" s="29" t="s">
        <v>69</v>
      </c>
      <c r="B28" s="29"/>
      <c r="C28" s="29"/>
      <c r="D28" s="29"/>
      <c r="E28" s="29"/>
      <c r="F28" s="29"/>
      <c r="G28" s="29"/>
      <c r="H28" s="29"/>
      <c r="I28" s="29"/>
      <c r="J28" s="30"/>
      <c r="K28" s="30"/>
      <c r="L28" s="30"/>
      <c r="M28" s="30"/>
      <c r="N28" s="30"/>
      <c r="O28" s="30"/>
      <c r="P28" s="30"/>
    </row>
    <row r="29" ht="15.75" customHeight="1">
      <c r="A29" s="29" t="s">
        <v>72</v>
      </c>
      <c r="B29" s="29"/>
      <c r="C29" s="29"/>
      <c r="D29" s="29"/>
      <c r="E29" s="29"/>
      <c r="F29" s="29"/>
      <c r="G29" s="29"/>
      <c r="H29" s="29"/>
      <c r="I29" s="29"/>
      <c r="J29" s="30"/>
      <c r="K29" s="30"/>
      <c r="L29" s="30"/>
      <c r="M29" s="30"/>
      <c r="N29" s="30"/>
      <c r="O29" s="30"/>
      <c r="P29" s="30"/>
    </row>
    <row r="30" ht="15.75" customHeight="1">
      <c r="A30" s="29" t="s">
        <v>189</v>
      </c>
      <c r="B30" s="29"/>
      <c r="C30" s="29"/>
      <c r="D30" s="29"/>
      <c r="E30" s="29"/>
      <c r="F30" s="29"/>
      <c r="G30" s="29"/>
      <c r="H30" s="29"/>
      <c r="I30" s="29"/>
      <c r="J30" s="30"/>
      <c r="K30" s="30"/>
      <c r="L30" s="30"/>
      <c r="M30" s="30"/>
      <c r="N30" s="30"/>
      <c r="O30" s="30"/>
      <c r="P30" s="30"/>
    </row>
    <row r="31" ht="15.75" customHeight="1">
      <c r="A31" s="32" t="s">
        <v>76</v>
      </c>
    </row>
    <row r="32" ht="15.75" customHeight="1">
      <c r="A32" s="32"/>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A31:P31"/>
    <mergeCell ref="A32:P32"/>
    <mergeCell ref="A4:A6"/>
    <mergeCell ref="B4:D4"/>
    <mergeCell ref="E4:G4"/>
    <mergeCell ref="B5:B6"/>
    <mergeCell ref="C5:D5"/>
    <mergeCell ref="E5:E6"/>
    <mergeCell ref="F5:G5"/>
  </mergeCells>
  <hyperlinks>
    <hyperlink display="BACK TO LIST" location="LIST!A1" ref="A1"/>
  </hyperlinks>
  <printOptions/>
  <pageMargins bottom="0.75" footer="0.0" header="0.0" left="0.7" right="0.7" top="0.75"/>
  <pageSetup paperSize="9" orientation="portrait"/>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9"/>
    <pageSetUpPr/>
  </sheetPr>
  <sheetViews>
    <sheetView workbookViewId="0"/>
  </sheetViews>
  <sheetFormatPr customHeight="1" defaultColWidth="12.63" defaultRowHeight="15.0"/>
  <cols>
    <col customWidth="1" min="1" max="1" width="39.0"/>
    <col customWidth="1" min="2" max="2" width="20.0"/>
    <col customWidth="1" min="3" max="10" width="14.0"/>
    <col customWidth="1" min="11" max="11" width="20.0"/>
    <col customWidth="1" min="12" max="19" width="14.0"/>
    <col customWidth="1" min="20" max="26" width="8.63"/>
  </cols>
  <sheetData>
    <row r="1">
      <c r="A1" s="5" t="s">
        <v>1</v>
      </c>
      <c r="B1" s="5"/>
      <c r="C1" s="5"/>
      <c r="D1" s="5"/>
      <c r="E1" s="5"/>
      <c r="F1" s="5"/>
      <c r="G1" s="5"/>
      <c r="H1" s="5"/>
      <c r="I1" s="5"/>
      <c r="J1" s="5"/>
    </row>
    <row r="2" ht="15.0" customHeight="1">
      <c r="A2" s="33" t="s">
        <v>190</v>
      </c>
      <c r="B2" s="33"/>
      <c r="C2" s="33"/>
      <c r="D2" s="33"/>
      <c r="E2" s="33"/>
      <c r="F2" s="33"/>
      <c r="G2" s="33"/>
      <c r="H2" s="33"/>
      <c r="I2" s="33"/>
      <c r="J2" s="33"/>
      <c r="K2" s="7"/>
      <c r="L2" s="7"/>
      <c r="M2" s="7"/>
    </row>
    <row r="3">
      <c r="A3" s="8"/>
      <c r="B3" s="8"/>
      <c r="C3" s="8"/>
      <c r="D3" s="8"/>
      <c r="E3" s="8"/>
      <c r="F3" s="8"/>
      <c r="G3" s="8"/>
      <c r="H3" s="8"/>
      <c r="I3" s="8"/>
      <c r="J3" s="8"/>
      <c r="K3" s="9"/>
      <c r="L3" s="9"/>
      <c r="M3" s="9"/>
    </row>
    <row r="4">
      <c r="A4" s="10" t="s">
        <v>13</v>
      </c>
      <c r="B4" s="12">
        <v>2019.0</v>
      </c>
      <c r="C4" s="14"/>
      <c r="D4" s="14"/>
      <c r="E4" s="14"/>
      <c r="F4" s="14"/>
      <c r="G4" s="14"/>
      <c r="H4" s="14"/>
      <c r="I4" s="14"/>
      <c r="J4" s="15"/>
      <c r="K4" s="12">
        <v>2024.0</v>
      </c>
      <c r="L4" s="14"/>
      <c r="M4" s="14"/>
      <c r="N4" s="14"/>
      <c r="O4" s="14"/>
      <c r="P4" s="14"/>
      <c r="Q4" s="14"/>
      <c r="R4" s="14"/>
      <c r="S4" s="15"/>
    </row>
    <row r="5" ht="13.5" customHeight="1">
      <c r="A5" s="17"/>
      <c r="B5" s="48" t="s">
        <v>188</v>
      </c>
      <c r="C5" s="42" t="s">
        <v>193</v>
      </c>
      <c r="D5" s="14"/>
      <c r="E5" s="14"/>
      <c r="F5" s="14"/>
      <c r="G5" s="14"/>
      <c r="H5" s="14"/>
      <c r="I5" s="14"/>
      <c r="J5" s="15"/>
      <c r="K5" s="21" t="s">
        <v>188</v>
      </c>
      <c r="L5" s="42" t="s">
        <v>193</v>
      </c>
      <c r="M5" s="14"/>
      <c r="N5" s="14"/>
      <c r="O5" s="14"/>
      <c r="P5" s="14"/>
      <c r="Q5" s="14"/>
      <c r="R5" s="14"/>
      <c r="S5" s="15"/>
    </row>
    <row r="6" ht="15.0" customHeight="1">
      <c r="A6" s="17"/>
      <c r="B6" s="50"/>
      <c r="C6" s="13" t="s">
        <v>196</v>
      </c>
      <c r="D6" s="15"/>
      <c r="E6" s="13" t="s">
        <v>197</v>
      </c>
      <c r="F6" s="15"/>
      <c r="G6" s="13" t="s">
        <v>200</v>
      </c>
      <c r="H6" s="15"/>
      <c r="I6" s="13" t="s">
        <v>170</v>
      </c>
      <c r="J6" s="15"/>
      <c r="K6" s="17"/>
      <c r="L6" s="13" t="s">
        <v>196</v>
      </c>
      <c r="M6" s="15"/>
      <c r="N6" s="13" t="s">
        <v>197</v>
      </c>
      <c r="O6" s="15"/>
      <c r="P6" s="13" t="s">
        <v>200</v>
      </c>
      <c r="Q6" s="15"/>
      <c r="R6" s="13" t="s">
        <v>170</v>
      </c>
      <c r="S6" s="15"/>
    </row>
    <row r="7">
      <c r="A7" s="18"/>
      <c r="B7" s="40"/>
      <c r="C7" s="24" t="s">
        <v>37</v>
      </c>
      <c r="D7" s="24" t="s">
        <v>39</v>
      </c>
      <c r="E7" s="24" t="s">
        <v>37</v>
      </c>
      <c r="F7" s="24" t="s">
        <v>39</v>
      </c>
      <c r="G7" s="24" t="s">
        <v>37</v>
      </c>
      <c r="H7" s="24" t="s">
        <v>39</v>
      </c>
      <c r="I7" s="24" t="s">
        <v>37</v>
      </c>
      <c r="J7" s="24" t="s">
        <v>39</v>
      </c>
      <c r="K7" s="18"/>
      <c r="L7" s="24" t="s">
        <v>37</v>
      </c>
      <c r="M7" s="24" t="s">
        <v>39</v>
      </c>
      <c r="N7" s="24" t="s">
        <v>37</v>
      </c>
      <c r="O7" s="24" t="s">
        <v>39</v>
      </c>
      <c r="P7" s="24" t="s">
        <v>37</v>
      </c>
      <c r="Q7" s="24" t="s">
        <v>39</v>
      </c>
      <c r="R7" s="24" t="s">
        <v>37</v>
      </c>
      <c r="S7" s="24" t="s">
        <v>39</v>
      </c>
    </row>
    <row r="8">
      <c r="A8" s="16"/>
      <c r="B8" s="16"/>
      <c r="C8" s="16"/>
      <c r="D8" s="16"/>
      <c r="E8" s="16"/>
      <c r="F8" s="16"/>
      <c r="G8" s="16"/>
      <c r="H8" s="16"/>
      <c r="I8" s="16"/>
      <c r="J8" s="16"/>
      <c r="K8" s="20"/>
      <c r="L8" s="20"/>
      <c r="M8" s="20"/>
      <c r="N8" s="20"/>
      <c r="O8" s="20"/>
      <c r="P8" s="20"/>
      <c r="Q8" s="20"/>
      <c r="R8" s="20"/>
      <c r="S8" s="20"/>
    </row>
    <row r="9">
      <c r="A9" s="22" t="s">
        <v>33</v>
      </c>
      <c r="B9" s="23">
        <v>5557498.0</v>
      </c>
      <c r="C9" s="23">
        <v>1373230.0</v>
      </c>
      <c r="D9" s="27">
        <f t="shared" ref="D9:D26" si="1">(C9/$B9)*100</f>
        <v>24.70950057</v>
      </c>
      <c r="E9" s="23">
        <v>3661577.0</v>
      </c>
      <c r="F9" s="27">
        <f t="shared" ref="F9:F26" si="2">(E9/$B9)*100</f>
        <v>65.88534985</v>
      </c>
      <c r="G9" s="23">
        <v>2191905.0</v>
      </c>
      <c r="H9" s="27">
        <f t="shared" ref="H9:H26" si="3">(G9/$B9)*100</f>
        <v>39.44050002</v>
      </c>
      <c r="I9" s="23">
        <v>17195.0</v>
      </c>
      <c r="J9" s="27">
        <f t="shared" ref="J9:J26" si="4">IFERROR((I9/$B9)*100,"-")</f>
        <v>0.3094018207</v>
      </c>
      <c r="K9" s="23">
        <v>3006985.0</v>
      </c>
      <c r="L9" s="23">
        <v>916719.0</v>
      </c>
      <c r="M9" s="27">
        <f t="shared" ref="M9:M26" si="5">(L9/$K9)*100</f>
        <v>30.48631769</v>
      </c>
      <c r="N9" s="23">
        <v>2363672.0</v>
      </c>
      <c r="O9" s="27">
        <f t="shared" ref="O9:O26" si="6">(N9/$K9)*100</f>
        <v>78.60604559</v>
      </c>
      <c r="P9" s="23">
        <v>681463.0</v>
      </c>
      <c r="Q9" s="27">
        <f t="shared" ref="Q9:Q26" si="7">(P9/$K9)*100</f>
        <v>22.66266709</v>
      </c>
      <c r="R9" s="23">
        <v>4599.0</v>
      </c>
      <c r="S9" s="27">
        <f t="shared" ref="S9:S26" si="8">(R9/$K9)*100</f>
        <v>0.1529438956</v>
      </c>
      <c r="T9" s="41"/>
    </row>
    <row r="10">
      <c r="A10" s="25" t="s">
        <v>38</v>
      </c>
      <c r="B10" s="26">
        <v>1117522.0</v>
      </c>
      <c r="C10" s="26">
        <v>411311.0</v>
      </c>
      <c r="D10" s="31">
        <f t="shared" si="1"/>
        <v>36.80562888</v>
      </c>
      <c r="E10" s="26">
        <v>801970.0</v>
      </c>
      <c r="F10" s="31">
        <f t="shared" si="2"/>
        <v>71.76324046</v>
      </c>
      <c r="G10" s="26">
        <v>323043.0</v>
      </c>
      <c r="H10" s="31">
        <f t="shared" si="3"/>
        <v>28.90708192</v>
      </c>
      <c r="I10" s="26">
        <v>1436.0</v>
      </c>
      <c r="J10" s="31">
        <f t="shared" si="4"/>
        <v>0.1284985888</v>
      </c>
      <c r="K10" s="26">
        <v>667137.0</v>
      </c>
      <c r="L10" s="26">
        <v>216586.0</v>
      </c>
      <c r="M10" s="31">
        <f t="shared" si="5"/>
        <v>32.46499595</v>
      </c>
      <c r="N10" s="26">
        <v>516556.0</v>
      </c>
      <c r="O10" s="31">
        <f t="shared" si="6"/>
        <v>77.428774</v>
      </c>
      <c r="P10" s="26">
        <v>166450.0</v>
      </c>
      <c r="Q10" s="31">
        <f t="shared" si="7"/>
        <v>24.94989785</v>
      </c>
      <c r="R10" s="26">
        <v>67.0</v>
      </c>
      <c r="S10" s="31">
        <f t="shared" si="8"/>
        <v>0.01004291472</v>
      </c>
      <c r="T10" s="41"/>
    </row>
    <row r="11">
      <c r="A11" s="25" t="s">
        <v>41</v>
      </c>
      <c r="B11" s="26">
        <v>116362.0</v>
      </c>
      <c r="C11" s="26">
        <v>29433.0</v>
      </c>
      <c r="D11" s="31">
        <f t="shared" si="1"/>
        <v>25.29434008</v>
      </c>
      <c r="E11" s="26">
        <v>86727.0</v>
      </c>
      <c r="F11" s="31">
        <f t="shared" si="2"/>
        <v>74.53206373</v>
      </c>
      <c r="G11" s="26">
        <v>26372.0</v>
      </c>
      <c r="H11" s="31">
        <f t="shared" si="3"/>
        <v>22.66375621</v>
      </c>
      <c r="I11" s="26" t="s">
        <v>207</v>
      </c>
      <c r="J11" s="31" t="str">
        <f t="shared" si="4"/>
        <v>-</v>
      </c>
      <c r="K11" s="26">
        <v>62352.0</v>
      </c>
      <c r="L11" s="26">
        <v>17940.0</v>
      </c>
      <c r="M11" s="31">
        <f t="shared" si="5"/>
        <v>28.77213241</v>
      </c>
      <c r="N11" s="26">
        <v>49654.0</v>
      </c>
      <c r="O11" s="31">
        <f t="shared" si="6"/>
        <v>79.63497562</v>
      </c>
      <c r="P11" s="26">
        <v>10728.0</v>
      </c>
      <c r="Q11" s="31">
        <f t="shared" si="7"/>
        <v>17.20554273</v>
      </c>
      <c r="R11" s="26">
        <v>383.0</v>
      </c>
      <c r="S11" s="31">
        <f t="shared" si="8"/>
        <v>0.6142545548</v>
      </c>
      <c r="T11" s="41"/>
    </row>
    <row r="12">
      <c r="A12" s="25" t="s">
        <v>43</v>
      </c>
      <c r="B12" s="26">
        <v>291371.0</v>
      </c>
      <c r="C12" s="26">
        <v>42040.0</v>
      </c>
      <c r="D12" s="31">
        <f t="shared" si="1"/>
        <v>14.4283405</v>
      </c>
      <c r="E12" s="26">
        <v>214846.0</v>
      </c>
      <c r="F12" s="31">
        <f t="shared" si="2"/>
        <v>73.73623319</v>
      </c>
      <c r="G12" s="26">
        <v>146709.0</v>
      </c>
      <c r="H12" s="31">
        <f t="shared" si="3"/>
        <v>50.35127037</v>
      </c>
      <c r="I12" s="26">
        <v>1115.0</v>
      </c>
      <c r="J12" s="31">
        <f t="shared" si="4"/>
        <v>0.382673636</v>
      </c>
      <c r="K12" s="26">
        <v>119488.0</v>
      </c>
      <c r="L12" s="26">
        <v>32644.0</v>
      </c>
      <c r="M12" s="31">
        <f t="shared" si="5"/>
        <v>27.31989823</v>
      </c>
      <c r="N12" s="26">
        <v>95336.0</v>
      </c>
      <c r="O12" s="31">
        <f t="shared" si="6"/>
        <v>79.78709159</v>
      </c>
      <c r="P12" s="26">
        <v>32691.0</v>
      </c>
      <c r="Q12" s="31">
        <f t="shared" si="7"/>
        <v>27.35923273</v>
      </c>
      <c r="R12" s="26">
        <v>0.0</v>
      </c>
      <c r="S12" s="31">
        <f t="shared" si="8"/>
        <v>0</v>
      </c>
      <c r="T12" s="41"/>
    </row>
    <row r="13">
      <c r="A13" s="25" t="s">
        <v>44</v>
      </c>
      <c r="B13" s="26">
        <v>146921.0</v>
      </c>
      <c r="C13" s="26">
        <v>25267.0</v>
      </c>
      <c r="D13" s="31">
        <f t="shared" si="1"/>
        <v>17.19767766</v>
      </c>
      <c r="E13" s="26">
        <v>113696.0</v>
      </c>
      <c r="F13" s="31">
        <f t="shared" si="2"/>
        <v>77.38580598</v>
      </c>
      <c r="G13" s="26">
        <v>27309.0</v>
      </c>
      <c r="H13" s="31">
        <f t="shared" si="3"/>
        <v>18.58754024</v>
      </c>
      <c r="I13" s="26">
        <v>1345.0</v>
      </c>
      <c r="J13" s="31">
        <f t="shared" si="4"/>
        <v>0.9154579672</v>
      </c>
      <c r="K13" s="26">
        <v>97834.0</v>
      </c>
      <c r="L13" s="26">
        <v>12578.0</v>
      </c>
      <c r="M13" s="31">
        <f t="shared" si="5"/>
        <v>12.85647117</v>
      </c>
      <c r="N13" s="26">
        <v>83606.0</v>
      </c>
      <c r="O13" s="31">
        <f t="shared" si="6"/>
        <v>85.45699859</v>
      </c>
      <c r="P13" s="26">
        <v>18056.0</v>
      </c>
      <c r="Q13" s="31">
        <f t="shared" si="7"/>
        <v>18.45575158</v>
      </c>
      <c r="R13" s="26">
        <v>0.0</v>
      </c>
      <c r="S13" s="31">
        <f t="shared" si="8"/>
        <v>0</v>
      </c>
      <c r="T13" s="41"/>
    </row>
    <row r="14">
      <c r="A14" s="25" t="s">
        <v>46</v>
      </c>
      <c r="B14" s="26">
        <v>654747.0</v>
      </c>
      <c r="C14" s="26">
        <v>165868.0</v>
      </c>
      <c r="D14" s="31">
        <f t="shared" si="1"/>
        <v>25.33314395</v>
      </c>
      <c r="E14" s="26">
        <v>444351.0</v>
      </c>
      <c r="F14" s="31">
        <f t="shared" si="2"/>
        <v>67.86606124</v>
      </c>
      <c r="G14" s="26">
        <v>214727.0</v>
      </c>
      <c r="H14" s="31">
        <f t="shared" si="3"/>
        <v>32.79541563</v>
      </c>
      <c r="I14" s="26" t="s">
        <v>207</v>
      </c>
      <c r="J14" s="31" t="str">
        <f t="shared" si="4"/>
        <v>-</v>
      </c>
      <c r="K14" s="26">
        <v>390356.0</v>
      </c>
      <c r="L14" s="26">
        <v>113732.0</v>
      </c>
      <c r="M14" s="31">
        <f t="shared" si="5"/>
        <v>29.13545584</v>
      </c>
      <c r="N14" s="26">
        <v>302263.0</v>
      </c>
      <c r="O14" s="31">
        <f t="shared" si="6"/>
        <v>77.43265122</v>
      </c>
      <c r="P14" s="26">
        <v>104432.0</v>
      </c>
      <c r="Q14" s="31">
        <f t="shared" si="7"/>
        <v>26.7530152</v>
      </c>
      <c r="R14" s="26">
        <v>1180.0</v>
      </c>
      <c r="S14" s="31">
        <f t="shared" si="8"/>
        <v>0.3022881677</v>
      </c>
      <c r="T14" s="41"/>
    </row>
    <row r="15">
      <c r="A15" s="25" t="s">
        <v>48</v>
      </c>
      <c r="B15" s="26">
        <v>1488913.0</v>
      </c>
      <c r="C15" s="26">
        <v>315901.0</v>
      </c>
      <c r="D15" s="31">
        <f t="shared" si="1"/>
        <v>21.21688776</v>
      </c>
      <c r="E15" s="26">
        <v>745307.0</v>
      </c>
      <c r="F15" s="31">
        <f t="shared" si="2"/>
        <v>50.05712221</v>
      </c>
      <c r="G15" s="26">
        <v>847654.0</v>
      </c>
      <c r="H15" s="31">
        <f t="shared" si="3"/>
        <v>56.93106313</v>
      </c>
      <c r="I15" s="26">
        <v>324.0</v>
      </c>
      <c r="J15" s="31">
        <f t="shared" si="4"/>
        <v>0.02176084163</v>
      </c>
      <c r="K15" s="26">
        <v>580410.0</v>
      </c>
      <c r="L15" s="26">
        <v>207594.0</v>
      </c>
      <c r="M15" s="31">
        <f t="shared" si="5"/>
        <v>35.76678555</v>
      </c>
      <c r="N15" s="26">
        <v>433890.0</v>
      </c>
      <c r="O15" s="31">
        <f t="shared" si="6"/>
        <v>74.75577609</v>
      </c>
      <c r="P15" s="26">
        <v>144672.0</v>
      </c>
      <c r="Q15" s="31">
        <f t="shared" si="7"/>
        <v>24.92582829</v>
      </c>
      <c r="R15" s="26">
        <v>0.0</v>
      </c>
      <c r="S15" s="31">
        <f t="shared" si="8"/>
        <v>0</v>
      </c>
      <c r="T15" s="41"/>
    </row>
    <row r="16">
      <c r="A16" s="25" t="s">
        <v>50</v>
      </c>
      <c r="B16" s="26">
        <v>99090.0</v>
      </c>
      <c r="C16" s="26">
        <v>10111.0</v>
      </c>
      <c r="D16" s="31">
        <f t="shared" si="1"/>
        <v>10.20385508</v>
      </c>
      <c r="E16" s="26">
        <v>75268.0</v>
      </c>
      <c r="F16" s="31">
        <f t="shared" si="2"/>
        <v>75.95922898</v>
      </c>
      <c r="G16" s="26">
        <v>32627.0</v>
      </c>
      <c r="H16" s="31">
        <f t="shared" si="3"/>
        <v>32.92663235</v>
      </c>
      <c r="I16" s="26">
        <v>658.0</v>
      </c>
      <c r="J16" s="31">
        <f t="shared" si="4"/>
        <v>0.6640427894</v>
      </c>
      <c r="K16" s="26">
        <v>63200.0</v>
      </c>
      <c r="L16" s="26">
        <v>12484.0</v>
      </c>
      <c r="M16" s="31">
        <f t="shared" si="5"/>
        <v>19.75316456</v>
      </c>
      <c r="N16" s="26">
        <v>51680.0</v>
      </c>
      <c r="O16" s="31">
        <f t="shared" si="6"/>
        <v>81.7721519</v>
      </c>
      <c r="P16" s="26">
        <v>13552.0</v>
      </c>
      <c r="Q16" s="31">
        <f t="shared" si="7"/>
        <v>21.44303797</v>
      </c>
      <c r="R16" s="26">
        <v>297.0</v>
      </c>
      <c r="S16" s="31">
        <f t="shared" si="8"/>
        <v>0.4699367089</v>
      </c>
      <c r="T16" s="41"/>
    </row>
    <row r="17">
      <c r="A17" s="25" t="s">
        <v>51</v>
      </c>
      <c r="B17" s="26">
        <v>162411.0</v>
      </c>
      <c r="C17" s="26">
        <v>30424.0</v>
      </c>
      <c r="D17" s="31">
        <f t="shared" si="1"/>
        <v>18.73272131</v>
      </c>
      <c r="E17" s="26">
        <v>123591.0</v>
      </c>
      <c r="F17" s="31">
        <f t="shared" si="2"/>
        <v>76.09767811</v>
      </c>
      <c r="G17" s="26">
        <v>59931.0</v>
      </c>
      <c r="H17" s="31">
        <f t="shared" si="3"/>
        <v>36.90082568</v>
      </c>
      <c r="I17" s="26">
        <v>651.0</v>
      </c>
      <c r="J17" s="31">
        <f t="shared" si="4"/>
        <v>0.4008349188</v>
      </c>
      <c r="K17" s="26">
        <v>137805.0</v>
      </c>
      <c r="L17" s="26">
        <v>35824.0</v>
      </c>
      <c r="M17" s="31">
        <f t="shared" si="5"/>
        <v>25.99615399</v>
      </c>
      <c r="N17" s="26">
        <v>116821.0</v>
      </c>
      <c r="O17" s="31">
        <f t="shared" si="6"/>
        <v>84.77268604</v>
      </c>
      <c r="P17" s="26">
        <v>19355.0</v>
      </c>
      <c r="Q17" s="31">
        <f t="shared" si="7"/>
        <v>14.04520881</v>
      </c>
      <c r="R17" s="26">
        <v>548.0</v>
      </c>
      <c r="S17" s="31">
        <f t="shared" si="8"/>
        <v>0.3976633649</v>
      </c>
      <c r="T17" s="41"/>
    </row>
    <row r="18">
      <c r="A18" s="25" t="s">
        <v>53</v>
      </c>
      <c r="B18" s="26">
        <v>281295.0</v>
      </c>
      <c r="C18" s="26">
        <v>66499.0</v>
      </c>
      <c r="D18" s="31">
        <f t="shared" si="1"/>
        <v>23.64030644</v>
      </c>
      <c r="E18" s="26">
        <v>187237.0</v>
      </c>
      <c r="F18" s="31">
        <f t="shared" si="2"/>
        <v>66.56250555</v>
      </c>
      <c r="G18" s="26">
        <v>116412.0</v>
      </c>
      <c r="H18" s="31">
        <f t="shared" si="3"/>
        <v>41.38431184</v>
      </c>
      <c r="I18" s="26">
        <v>399.0</v>
      </c>
      <c r="J18" s="31">
        <f t="shared" si="4"/>
        <v>0.1418439716</v>
      </c>
      <c r="K18" s="26">
        <v>129132.0</v>
      </c>
      <c r="L18" s="26">
        <v>33714.0</v>
      </c>
      <c r="M18" s="31">
        <f t="shared" si="5"/>
        <v>26.10816839</v>
      </c>
      <c r="N18" s="26">
        <v>112965.0</v>
      </c>
      <c r="O18" s="31">
        <f t="shared" si="6"/>
        <v>87.48025276</v>
      </c>
      <c r="P18" s="26">
        <v>20230.0</v>
      </c>
      <c r="Q18" s="31">
        <f t="shared" si="7"/>
        <v>15.66614007</v>
      </c>
      <c r="R18" s="26">
        <v>0.0</v>
      </c>
      <c r="S18" s="31">
        <f t="shared" si="8"/>
        <v>0</v>
      </c>
      <c r="T18" s="41"/>
    </row>
    <row r="19">
      <c r="A19" s="25" t="s">
        <v>54</v>
      </c>
      <c r="B19" s="26">
        <v>297076.0</v>
      </c>
      <c r="C19" s="26">
        <v>80646.0</v>
      </c>
      <c r="D19" s="31">
        <f t="shared" si="1"/>
        <v>27.14658875</v>
      </c>
      <c r="E19" s="26">
        <v>206775.0</v>
      </c>
      <c r="F19" s="31">
        <f t="shared" si="2"/>
        <v>69.60340115</v>
      </c>
      <c r="G19" s="26">
        <v>89778.0</v>
      </c>
      <c r="H19" s="31">
        <f t="shared" si="3"/>
        <v>30.22054962</v>
      </c>
      <c r="I19" s="26">
        <v>2588.0</v>
      </c>
      <c r="J19" s="31">
        <f t="shared" si="4"/>
        <v>0.8711575489</v>
      </c>
      <c r="K19" s="26">
        <v>189142.0</v>
      </c>
      <c r="L19" s="26">
        <v>71753.0</v>
      </c>
      <c r="M19" s="31">
        <f t="shared" si="5"/>
        <v>37.93604805</v>
      </c>
      <c r="N19" s="26">
        <v>149167.0</v>
      </c>
      <c r="O19" s="31">
        <f t="shared" si="6"/>
        <v>78.86508549</v>
      </c>
      <c r="P19" s="26">
        <v>44572.0</v>
      </c>
      <c r="Q19" s="31">
        <f t="shared" si="7"/>
        <v>23.56536359</v>
      </c>
      <c r="R19" s="26">
        <v>800.0</v>
      </c>
      <c r="S19" s="31">
        <f t="shared" si="8"/>
        <v>0.4229626418</v>
      </c>
      <c r="T19" s="41"/>
    </row>
    <row r="20">
      <c r="A20" s="25" t="s">
        <v>56</v>
      </c>
      <c r="B20" s="26">
        <v>148345.0</v>
      </c>
      <c r="C20" s="26">
        <v>24630.0</v>
      </c>
      <c r="D20" s="31">
        <f t="shared" si="1"/>
        <v>16.60318851</v>
      </c>
      <c r="E20" s="26">
        <v>112648.0</v>
      </c>
      <c r="F20" s="31">
        <f t="shared" si="2"/>
        <v>75.93649938</v>
      </c>
      <c r="G20" s="26">
        <v>47455.0</v>
      </c>
      <c r="H20" s="31">
        <f t="shared" si="3"/>
        <v>31.98961879</v>
      </c>
      <c r="I20" s="26">
        <v>958.0</v>
      </c>
      <c r="J20" s="31">
        <f t="shared" si="4"/>
        <v>0.645791904</v>
      </c>
      <c r="K20" s="26">
        <v>71688.0</v>
      </c>
      <c r="L20" s="26">
        <v>13746.0</v>
      </c>
      <c r="M20" s="31">
        <f t="shared" si="5"/>
        <v>19.17475728</v>
      </c>
      <c r="N20" s="26">
        <v>60478.0</v>
      </c>
      <c r="O20" s="31">
        <f t="shared" si="6"/>
        <v>84.36279433</v>
      </c>
      <c r="P20" s="26">
        <v>15057.0</v>
      </c>
      <c r="Q20" s="31">
        <f t="shared" si="7"/>
        <v>21.00351523</v>
      </c>
      <c r="R20" s="26">
        <v>829.0</v>
      </c>
      <c r="S20" s="31">
        <f t="shared" si="8"/>
        <v>1.156399955</v>
      </c>
      <c r="T20" s="41"/>
    </row>
    <row r="21" ht="15.75" customHeight="1">
      <c r="A21" s="25" t="s">
        <v>57</v>
      </c>
      <c r="B21" s="26">
        <v>84974.0</v>
      </c>
      <c r="C21" s="26">
        <v>18459.0</v>
      </c>
      <c r="D21" s="31">
        <f t="shared" si="1"/>
        <v>21.72311531</v>
      </c>
      <c r="E21" s="26">
        <v>67399.0</v>
      </c>
      <c r="F21" s="31">
        <f t="shared" si="2"/>
        <v>79.31720291</v>
      </c>
      <c r="G21" s="26">
        <v>33108.0</v>
      </c>
      <c r="H21" s="31">
        <f t="shared" si="3"/>
        <v>38.96250618</v>
      </c>
      <c r="I21" s="26">
        <v>376.0</v>
      </c>
      <c r="J21" s="31">
        <f t="shared" si="4"/>
        <v>0.4424882905</v>
      </c>
      <c r="K21" s="26">
        <v>46837.0</v>
      </c>
      <c r="L21" s="26">
        <v>10407.0</v>
      </c>
      <c r="M21" s="31">
        <f t="shared" si="5"/>
        <v>22.2196127</v>
      </c>
      <c r="N21" s="26">
        <v>37665.0</v>
      </c>
      <c r="O21" s="31">
        <f t="shared" si="6"/>
        <v>80.41719154</v>
      </c>
      <c r="P21" s="26">
        <v>11452.0</v>
      </c>
      <c r="Q21" s="31">
        <f t="shared" si="7"/>
        <v>24.45075475</v>
      </c>
      <c r="R21" s="26">
        <v>0.0</v>
      </c>
      <c r="S21" s="31">
        <f t="shared" si="8"/>
        <v>0</v>
      </c>
      <c r="T21" s="41"/>
    </row>
    <row r="22" ht="15.75" customHeight="1">
      <c r="A22" s="25" t="s">
        <v>59</v>
      </c>
      <c r="B22" s="26">
        <v>152576.0</v>
      </c>
      <c r="C22" s="26">
        <v>39845.0</v>
      </c>
      <c r="D22" s="31">
        <f t="shared" si="1"/>
        <v>26.11485424</v>
      </c>
      <c r="E22" s="26">
        <v>108913.0</v>
      </c>
      <c r="F22" s="31">
        <f t="shared" si="2"/>
        <v>71.38278628</v>
      </c>
      <c r="G22" s="26">
        <v>59259.0</v>
      </c>
      <c r="H22" s="31">
        <f t="shared" si="3"/>
        <v>38.83900482</v>
      </c>
      <c r="I22" s="26" t="s">
        <v>207</v>
      </c>
      <c r="J22" s="31" t="str">
        <f t="shared" si="4"/>
        <v>-</v>
      </c>
      <c r="K22" s="26">
        <v>146395.0</v>
      </c>
      <c r="L22" s="26">
        <v>54281.0</v>
      </c>
      <c r="M22" s="31">
        <f t="shared" si="5"/>
        <v>37.07845213</v>
      </c>
      <c r="N22" s="26">
        <v>110136.0</v>
      </c>
      <c r="O22" s="31">
        <f t="shared" si="6"/>
        <v>75.2320776</v>
      </c>
      <c r="P22" s="26">
        <v>24656.0</v>
      </c>
      <c r="Q22" s="31">
        <f t="shared" si="7"/>
        <v>16.84210526</v>
      </c>
      <c r="R22" s="26">
        <v>495.0</v>
      </c>
      <c r="S22" s="31">
        <f t="shared" si="8"/>
        <v>0.3381263021</v>
      </c>
      <c r="T22" s="41"/>
    </row>
    <row r="23" ht="15.75" customHeight="1">
      <c r="A23" s="25" t="s">
        <v>60</v>
      </c>
      <c r="B23" s="26">
        <v>212526.0</v>
      </c>
      <c r="C23" s="26">
        <v>48679.0</v>
      </c>
      <c r="D23" s="31">
        <f t="shared" si="1"/>
        <v>22.90496222</v>
      </c>
      <c r="E23" s="26">
        <v>160423.0</v>
      </c>
      <c r="F23" s="31">
        <f t="shared" si="2"/>
        <v>75.48394079</v>
      </c>
      <c r="G23" s="26">
        <v>68103.0</v>
      </c>
      <c r="H23" s="31">
        <f t="shared" si="3"/>
        <v>32.04454984</v>
      </c>
      <c r="I23" s="26">
        <v>1719.0</v>
      </c>
      <c r="J23" s="31">
        <f t="shared" si="4"/>
        <v>0.8088422122</v>
      </c>
      <c r="K23" s="26">
        <v>100970.0</v>
      </c>
      <c r="L23" s="26">
        <v>26277.0</v>
      </c>
      <c r="M23" s="31">
        <f t="shared" si="5"/>
        <v>26.02456175</v>
      </c>
      <c r="N23" s="26">
        <v>76627.0</v>
      </c>
      <c r="O23" s="31">
        <f t="shared" si="6"/>
        <v>75.89085867</v>
      </c>
      <c r="P23" s="26">
        <v>18988.0</v>
      </c>
      <c r="Q23" s="31">
        <f t="shared" si="7"/>
        <v>18.80558582</v>
      </c>
      <c r="R23" s="26">
        <v>0.0</v>
      </c>
      <c r="S23" s="31">
        <f t="shared" si="8"/>
        <v>0</v>
      </c>
      <c r="T23" s="41"/>
    </row>
    <row r="24" ht="15.75" customHeight="1">
      <c r="A24" s="25" t="s">
        <v>63</v>
      </c>
      <c r="B24" s="26">
        <v>162894.0</v>
      </c>
      <c r="C24" s="26">
        <v>39987.0</v>
      </c>
      <c r="D24" s="31">
        <f t="shared" si="1"/>
        <v>24.54786548</v>
      </c>
      <c r="E24" s="26">
        <v>118068.0</v>
      </c>
      <c r="F24" s="31">
        <f t="shared" si="2"/>
        <v>72.48149103</v>
      </c>
      <c r="G24" s="26">
        <v>42669.0</v>
      </c>
      <c r="H24" s="31">
        <f t="shared" si="3"/>
        <v>26.19433497</v>
      </c>
      <c r="I24" s="26">
        <v>5157.0</v>
      </c>
      <c r="J24" s="31">
        <f t="shared" si="4"/>
        <v>3.165862463</v>
      </c>
      <c r="K24" s="26">
        <v>125471.0</v>
      </c>
      <c r="L24" s="26">
        <v>40141.0</v>
      </c>
      <c r="M24" s="31">
        <f t="shared" si="5"/>
        <v>31.99225319</v>
      </c>
      <c r="N24" s="26">
        <v>101281.0</v>
      </c>
      <c r="O24" s="31">
        <f t="shared" si="6"/>
        <v>80.72064461</v>
      </c>
      <c r="P24" s="26">
        <v>19329.0</v>
      </c>
      <c r="Q24" s="31">
        <f t="shared" si="7"/>
        <v>15.40515338</v>
      </c>
      <c r="R24" s="26">
        <v>0.0</v>
      </c>
      <c r="S24" s="31">
        <f t="shared" si="8"/>
        <v>0</v>
      </c>
      <c r="T24" s="41"/>
    </row>
    <row r="25" ht="15.75" customHeight="1">
      <c r="A25" s="25" t="s">
        <v>64</v>
      </c>
      <c r="B25" s="26">
        <v>96216.0</v>
      </c>
      <c r="C25" s="26">
        <v>18854.0</v>
      </c>
      <c r="D25" s="31">
        <f t="shared" si="1"/>
        <v>19.59549347</v>
      </c>
      <c r="E25" s="26">
        <v>64238.0</v>
      </c>
      <c r="F25" s="31">
        <f t="shared" si="2"/>
        <v>66.76436352</v>
      </c>
      <c r="G25" s="26">
        <v>42814.0</v>
      </c>
      <c r="H25" s="31">
        <f t="shared" si="3"/>
        <v>44.49779662</v>
      </c>
      <c r="I25" s="26">
        <v>469.0</v>
      </c>
      <c r="J25" s="31">
        <f t="shared" si="4"/>
        <v>0.4874449156</v>
      </c>
      <c r="K25" s="26">
        <v>40695.0</v>
      </c>
      <c r="L25" s="26">
        <v>10902.0</v>
      </c>
      <c r="M25" s="31">
        <f t="shared" si="5"/>
        <v>26.78953188</v>
      </c>
      <c r="N25" s="26">
        <v>30807.0</v>
      </c>
      <c r="O25" s="31">
        <f t="shared" si="6"/>
        <v>75.70217471</v>
      </c>
      <c r="P25" s="26">
        <v>11523.0</v>
      </c>
      <c r="Q25" s="31">
        <f t="shared" si="7"/>
        <v>28.31551788</v>
      </c>
      <c r="R25" s="26">
        <v>0.0</v>
      </c>
      <c r="S25" s="31">
        <f t="shared" si="8"/>
        <v>0</v>
      </c>
      <c r="T25" s="41"/>
    </row>
    <row r="26" ht="15.75" customHeight="1">
      <c r="A26" s="25" t="s">
        <v>65</v>
      </c>
      <c r="B26" s="26">
        <v>44261.0</v>
      </c>
      <c r="C26" s="26">
        <v>5276.0</v>
      </c>
      <c r="D26" s="31">
        <f t="shared" si="1"/>
        <v>11.92020063</v>
      </c>
      <c r="E26" s="26">
        <v>30120.0</v>
      </c>
      <c r="F26" s="31">
        <f t="shared" si="2"/>
        <v>68.05088001</v>
      </c>
      <c r="G26" s="26">
        <v>13934.0</v>
      </c>
      <c r="H26" s="31">
        <f t="shared" si="3"/>
        <v>31.48143964</v>
      </c>
      <c r="I26" s="26" t="s">
        <v>207</v>
      </c>
      <c r="J26" s="31" t="str">
        <f t="shared" si="4"/>
        <v>-</v>
      </c>
      <c r="K26" s="26">
        <v>38074.0</v>
      </c>
      <c r="L26" s="26">
        <v>6115.0</v>
      </c>
      <c r="M26" s="31">
        <f t="shared" si="5"/>
        <v>16.06082891</v>
      </c>
      <c r="N26" s="26">
        <v>34741.0</v>
      </c>
      <c r="O26" s="31">
        <f t="shared" si="6"/>
        <v>91.24599464</v>
      </c>
      <c r="P26" s="26">
        <v>5720.0</v>
      </c>
      <c r="Q26" s="31">
        <f t="shared" si="7"/>
        <v>15.02337553</v>
      </c>
      <c r="R26" s="26">
        <v>0.0</v>
      </c>
      <c r="S26" s="31">
        <f t="shared" si="8"/>
        <v>0</v>
      </c>
      <c r="T26" s="41"/>
    </row>
    <row r="27" ht="15.75" customHeight="1">
      <c r="A27" s="28"/>
      <c r="B27" s="28"/>
      <c r="C27" s="28"/>
      <c r="D27" s="28"/>
      <c r="E27" s="28"/>
      <c r="F27" s="28"/>
      <c r="G27" s="28"/>
      <c r="H27" s="28"/>
      <c r="I27" s="28"/>
      <c r="J27" s="28"/>
      <c r="K27" s="28"/>
      <c r="L27" s="28"/>
      <c r="M27" s="28"/>
      <c r="N27" s="28"/>
      <c r="O27" s="28"/>
      <c r="P27" s="28"/>
      <c r="Q27" s="28"/>
      <c r="R27" s="28"/>
      <c r="S27" s="28"/>
      <c r="T27" s="41"/>
    </row>
    <row r="28" ht="15.75" customHeight="1">
      <c r="A28" s="9"/>
      <c r="B28" s="9"/>
      <c r="C28" s="9"/>
      <c r="D28" s="9"/>
      <c r="E28" s="9"/>
      <c r="F28" s="9"/>
      <c r="G28" s="9"/>
      <c r="H28" s="9"/>
      <c r="I28" s="9"/>
      <c r="J28" s="9"/>
      <c r="K28" s="9"/>
      <c r="L28" s="9"/>
      <c r="M28" s="9"/>
    </row>
    <row r="29" ht="15.75" customHeight="1">
      <c r="A29" s="29" t="s">
        <v>69</v>
      </c>
      <c r="B29" s="29"/>
      <c r="C29" s="29"/>
      <c r="D29" s="29"/>
      <c r="E29" s="29"/>
      <c r="F29" s="29"/>
      <c r="G29" s="29"/>
      <c r="H29" s="29"/>
      <c r="I29" s="29"/>
      <c r="J29" s="29"/>
      <c r="K29" s="29"/>
      <c r="L29" s="29"/>
      <c r="M29" s="29"/>
      <c r="N29" s="29"/>
      <c r="O29" s="29"/>
      <c r="P29" s="30"/>
      <c r="Q29" s="30"/>
      <c r="R29" s="30"/>
      <c r="S29" s="30"/>
      <c r="T29" s="30"/>
      <c r="U29" s="30"/>
      <c r="V29" s="30"/>
    </row>
    <row r="30" ht="15.75" customHeight="1">
      <c r="A30" s="29" t="s">
        <v>72</v>
      </c>
      <c r="B30" s="29"/>
      <c r="C30" s="29"/>
      <c r="D30" s="29"/>
      <c r="E30" s="29"/>
      <c r="F30" s="29"/>
      <c r="G30" s="29"/>
      <c r="H30" s="29"/>
      <c r="I30" s="29"/>
      <c r="J30" s="29"/>
      <c r="K30" s="29"/>
      <c r="L30" s="29"/>
      <c r="M30" s="29"/>
      <c r="N30" s="29"/>
      <c r="O30" s="29"/>
      <c r="P30" s="30"/>
      <c r="Q30" s="30"/>
      <c r="R30" s="30"/>
      <c r="S30" s="30"/>
      <c r="T30" s="30"/>
      <c r="U30" s="30"/>
      <c r="V30" s="30"/>
    </row>
    <row r="31" ht="15.75" customHeight="1">
      <c r="A31" s="29" t="s">
        <v>227</v>
      </c>
      <c r="B31" s="29"/>
      <c r="C31" s="29"/>
      <c r="D31" s="29"/>
      <c r="E31" s="29"/>
      <c r="F31" s="29"/>
      <c r="G31" s="29"/>
      <c r="H31" s="29"/>
      <c r="I31" s="29"/>
      <c r="J31" s="29"/>
      <c r="K31" s="29"/>
      <c r="L31" s="29"/>
      <c r="M31" s="29"/>
      <c r="N31" s="29"/>
      <c r="O31" s="29"/>
      <c r="P31" s="30"/>
      <c r="Q31" s="30"/>
      <c r="R31" s="30"/>
      <c r="S31" s="30"/>
      <c r="T31" s="30"/>
      <c r="U31" s="30"/>
      <c r="V31" s="30"/>
    </row>
    <row r="32" ht="15.75" customHeight="1">
      <c r="A32" s="29" t="s">
        <v>228</v>
      </c>
      <c r="B32" s="29"/>
      <c r="C32" s="29"/>
      <c r="D32" s="29"/>
      <c r="E32" s="29"/>
      <c r="F32" s="29"/>
      <c r="G32" s="29"/>
      <c r="H32" s="29"/>
      <c r="I32" s="29"/>
      <c r="J32" s="29"/>
      <c r="K32" s="29"/>
      <c r="L32" s="29"/>
      <c r="M32" s="29"/>
      <c r="N32" s="29"/>
      <c r="O32" s="29"/>
      <c r="P32" s="30"/>
      <c r="Q32" s="30"/>
      <c r="R32" s="30"/>
      <c r="S32" s="30"/>
      <c r="T32" s="30"/>
      <c r="U32" s="30"/>
      <c r="V32" s="30"/>
    </row>
    <row r="33" ht="15.75" customHeight="1">
      <c r="A33" s="32" t="s">
        <v>76</v>
      </c>
    </row>
    <row r="34" ht="15.75" customHeight="1">
      <c r="A34" s="32"/>
    </row>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7">
    <mergeCell ref="C6:D6"/>
    <mergeCell ref="E6:F6"/>
    <mergeCell ref="G6:H6"/>
    <mergeCell ref="I6:J6"/>
    <mergeCell ref="L6:M6"/>
    <mergeCell ref="N6:O6"/>
    <mergeCell ref="P6:Q6"/>
    <mergeCell ref="R6:S6"/>
    <mergeCell ref="A33:V33"/>
    <mergeCell ref="A34:V34"/>
    <mergeCell ref="A4:A7"/>
    <mergeCell ref="B4:J4"/>
    <mergeCell ref="K4:S4"/>
    <mergeCell ref="B5:B7"/>
    <mergeCell ref="C5:J5"/>
    <mergeCell ref="K5:K7"/>
    <mergeCell ref="L5:S5"/>
  </mergeCells>
  <hyperlinks>
    <hyperlink display="BACK TO LIST" location="LIST!A1" ref="A1"/>
  </hyperlinks>
  <printOptions/>
  <pageMargins bottom="0.75" footer="0.0" header="0.0" left="0.7" right="0.7" top="0.75"/>
  <pageSetup paperSize="9" orientation="portrait"/>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9"/>
    <pageSetUpPr/>
  </sheetPr>
  <sheetViews>
    <sheetView workbookViewId="0"/>
  </sheetViews>
  <sheetFormatPr customHeight="1" defaultColWidth="12.63" defaultRowHeight="15.0"/>
  <cols>
    <col customWidth="1" min="1" max="1" width="39.0"/>
    <col customWidth="1" min="2" max="27" width="14.0"/>
    <col customWidth="1" min="28" max="28" width="8.63"/>
  </cols>
  <sheetData>
    <row r="1">
      <c r="A1" s="5" t="s">
        <v>1</v>
      </c>
      <c r="B1" s="5"/>
      <c r="C1" s="5"/>
      <c r="D1" s="5"/>
      <c r="E1" s="5"/>
      <c r="F1" s="5"/>
      <c r="G1" s="5"/>
      <c r="H1" s="5"/>
      <c r="I1" s="5"/>
      <c r="J1" s="5"/>
      <c r="K1" s="5"/>
      <c r="L1" s="5"/>
    </row>
    <row r="2" ht="18.0" customHeight="1">
      <c r="A2" s="6" t="s">
        <v>191</v>
      </c>
      <c r="B2" s="6"/>
      <c r="C2" s="6"/>
      <c r="D2" s="6"/>
      <c r="E2" s="6"/>
      <c r="F2" s="6"/>
      <c r="G2" s="6"/>
      <c r="H2" s="6"/>
      <c r="I2" s="6"/>
      <c r="J2" s="6"/>
      <c r="K2" s="6"/>
      <c r="L2" s="6"/>
      <c r="M2" s="7"/>
      <c r="N2" s="7"/>
      <c r="O2" s="7"/>
    </row>
    <row r="3">
      <c r="A3" s="8"/>
      <c r="B3" s="8"/>
      <c r="C3" s="8"/>
      <c r="D3" s="8"/>
      <c r="E3" s="8"/>
      <c r="F3" s="8"/>
      <c r="G3" s="8"/>
      <c r="H3" s="8"/>
      <c r="I3" s="8"/>
      <c r="J3" s="8"/>
      <c r="K3" s="8"/>
      <c r="L3" s="8"/>
      <c r="M3" s="9"/>
      <c r="N3" s="9"/>
      <c r="O3" s="9"/>
    </row>
    <row r="4">
      <c r="A4" s="10" t="s">
        <v>13</v>
      </c>
      <c r="B4" s="12">
        <v>2019.0</v>
      </c>
      <c r="C4" s="14"/>
      <c r="D4" s="14"/>
      <c r="E4" s="14"/>
      <c r="F4" s="14"/>
      <c r="G4" s="14"/>
      <c r="H4" s="14"/>
      <c r="I4" s="14"/>
      <c r="J4" s="14"/>
      <c r="K4" s="14"/>
      <c r="L4" s="15"/>
      <c r="M4" s="12">
        <v>2024.0</v>
      </c>
      <c r="N4" s="14"/>
      <c r="O4" s="14"/>
      <c r="P4" s="14"/>
      <c r="Q4" s="14"/>
      <c r="R4" s="14"/>
      <c r="S4" s="14"/>
      <c r="T4" s="14"/>
      <c r="U4" s="14"/>
      <c r="V4" s="14"/>
      <c r="W4" s="14"/>
      <c r="X4" s="14"/>
      <c r="Y4" s="14"/>
      <c r="Z4" s="14"/>
      <c r="AA4" s="15"/>
    </row>
    <row r="5" ht="15.0" customHeight="1">
      <c r="A5" s="17"/>
      <c r="B5" s="21" t="s">
        <v>26</v>
      </c>
      <c r="C5" s="42" t="s">
        <v>195</v>
      </c>
      <c r="D5" s="14"/>
      <c r="E5" s="14"/>
      <c r="F5" s="14"/>
      <c r="G5" s="14"/>
      <c r="H5" s="14"/>
      <c r="I5" s="14"/>
      <c r="J5" s="14"/>
      <c r="K5" s="14"/>
      <c r="L5" s="15"/>
      <c r="M5" s="21" t="s">
        <v>26</v>
      </c>
      <c r="N5" s="42" t="s">
        <v>195</v>
      </c>
      <c r="O5" s="14"/>
      <c r="P5" s="14"/>
      <c r="Q5" s="14"/>
      <c r="R5" s="14"/>
      <c r="S5" s="14"/>
      <c r="T5" s="14"/>
      <c r="U5" s="14"/>
      <c r="V5" s="14"/>
      <c r="W5" s="14"/>
      <c r="X5" s="14"/>
      <c r="Y5" s="14"/>
      <c r="Z5" s="14"/>
      <c r="AA5" s="15"/>
    </row>
    <row r="6" ht="30.0" customHeight="1">
      <c r="A6" s="17"/>
      <c r="B6" s="17"/>
      <c r="C6" s="13" t="s">
        <v>199</v>
      </c>
      <c r="D6" s="15"/>
      <c r="E6" s="13" t="s">
        <v>201</v>
      </c>
      <c r="F6" s="15"/>
      <c r="G6" s="13" t="s">
        <v>202</v>
      </c>
      <c r="H6" s="15"/>
      <c r="I6" s="13" t="s">
        <v>203</v>
      </c>
      <c r="J6" s="15"/>
      <c r="K6" s="13" t="s">
        <v>170</v>
      </c>
      <c r="L6" s="15"/>
      <c r="M6" s="17"/>
      <c r="N6" s="13" t="s">
        <v>204</v>
      </c>
      <c r="O6" s="15"/>
      <c r="P6" s="13" t="s">
        <v>205</v>
      </c>
      <c r="Q6" s="15"/>
      <c r="R6" s="13" t="s">
        <v>201</v>
      </c>
      <c r="S6" s="15"/>
      <c r="T6" s="13" t="s">
        <v>202</v>
      </c>
      <c r="U6" s="15"/>
      <c r="V6" s="13" t="s">
        <v>203</v>
      </c>
      <c r="W6" s="15"/>
      <c r="X6" s="13" t="s">
        <v>206</v>
      </c>
      <c r="Y6" s="15"/>
      <c r="Z6" s="13" t="s">
        <v>170</v>
      </c>
      <c r="AA6" s="15"/>
    </row>
    <row r="7">
      <c r="A7" s="18"/>
      <c r="B7" s="18"/>
      <c r="C7" s="24" t="s">
        <v>37</v>
      </c>
      <c r="D7" s="24" t="s">
        <v>39</v>
      </c>
      <c r="E7" s="24" t="s">
        <v>37</v>
      </c>
      <c r="F7" s="24" t="s">
        <v>39</v>
      </c>
      <c r="G7" s="24" t="s">
        <v>37</v>
      </c>
      <c r="H7" s="24" t="s">
        <v>39</v>
      </c>
      <c r="I7" s="24" t="s">
        <v>37</v>
      </c>
      <c r="J7" s="24" t="s">
        <v>39</v>
      </c>
      <c r="K7" s="24" t="s">
        <v>37</v>
      </c>
      <c r="L7" s="24" t="s">
        <v>39</v>
      </c>
      <c r="M7" s="18"/>
      <c r="N7" s="24" t="s">
        <v>37</v>
      </c>
      <c r="O7" s="24" t="s">
        <v>39</v>
      </c>
      <c r="P7" s="24" t="s">
        <v>37</v>
      </c>
      <c r="Q7" s="24" t="s">
        <v>39</v>
      </c>
      <c r="R7" s="24" t="s">
        <v>37</v>
      </c>
      <c r="S7" s="24" t="s">
        <v>39</v>
      </c>
      <c r="T7" s="24" t="s">
        <v>37</v>
      </c>
      <c r="U7" s="24" t="s">
        <v>39</v>
      </c>
      <c r="V7" s="24" t="s">
        <v>37</v>
      </c>
      <c r="W7" s="24" t="s">
        <v>39</v>
      </c>
      <c r="X7" s="24" t="s">
        <v>37</v>
      </c>
      <c r="Y7" s="24" t="s">
        <v>39</v>
      </c>
      <c r="Z7" s="24" t="s">
        <v>37</v>
      </c>
      <c r="AA7" s="24" t="s">
        <v>39</v>
      </c>
    </row>
    <row r="8">
      <c r="A8" s="16"/>
      <c r="B8" s="16"/>
      <c r="C8" s="16"/>
      <c r="D8" s="16"/>
      <c r="E8" s="16"/>
      <c r="F8" s="16"/>
      <c r="G8" s="16"/>
      <c r="H8" s="16"/>
      <c r="I8" s="16"/>
      <c r="J8" s="16"/>
      <c r="K8" s="16"/>
      <c r="L8" s="16"/>
      <c r="M8" s="20"/>
      <c r="N8" s="20"/>
      <c r="O8" s="20"/>
      <c r="P8" s="20"/>
      <c r="Q8" s="20"/>
      <c r="R8" s="20"/>
      <c r="S8" s="20"/>
      <c r="T8" s="20"/>
      <c r="U8" s="20"/>
      <c r="V8" s="20"/>
      <c r="W8" s="20"/>
      <c r="X8" s="20"/>
      <c r="Y8" s="20"/>
      <c r="Z8" s="20"/>
      <c r="AA8" s="20"/>
    </row>
    <row r="9">
      <c r="A9" s="22" t="s">
        <v>33</v>
      </c>
      <c r="B9" s="23">
        <f>'Estimated Totals'!B7</f>
        <v>23360960</v>
      </c>
      <c r="C9" s="23">
        <v>3672255.0</v>
      </c>
      <c r="D9" s="27">
        <f t="shared" ref="D9:D26" si="1">(C9/$B9)*100</f>
        <v>15.71962368</v>
      </c>
      <c r="E9" s="23">
        <v>1406742.0</v>
      </c>
      <c r="F9" s="27">
        <f t="shared" ref="F9:F26" si="2">(E9/$B9)*100</f>
        <v>6.021764517</v>
      </c>
      <c r="G9" s="23">
        <v>273362.0</v>
      </c>
      <c r="H9" s="27">
        <f t="shared" ref="H9:H26" si="3">(G9/$B9)*100</f>
        <v>1.170165952</v>
      </c>
      <c r="I9" s="23">
        <v>8137749.0</v>
      </c>
      <c r="J9" s="27">
        <f t="shared" ref="J9:J26" si="4">(I9/$B9)*100</f>
        <v>34.83482271</v>
      </c>
      <c r="K9" s="23">
        <v>609873.0</v>
      </c>
      <c r="L9" s="27">
        <f t="shared" ref="L9:L26" si="5">(K9/$B9)*100</f>
        <v>2.610650418</v>
      </c>
      <c r="M9" s="23">
        <v>2.7793884E7</v>
      </c>
      <c r="N9" s="23">
        <v>5259073.0</v>
      </c>
      <c r="O9" s="27">
        <f t="shared" ref="O9:O26" si="6">(N9/$M9)*100</f>
        <v>18.92169155</v>
      </c>
      <c r="P9" s="23">
        <v>5477573.0</v>
      </c>
      <c r="Q9" s="27">
        <f t="shared" ref="Q9:Q26" si="7">(P9/$M9)*100</f>
        <v>19.70783572</v>
      </c>
      <c r="R9" s="23">
        <v>4419694.0</v>
      </c>
      <c r="S9" s="27">
        <f t="shared" ref="S9:S26" si="8">(R9/$M9)*100</f>
        <v>15.90167823</v>
      </c>
      <c r="T9" s="23">
        <v>858483.0</v>
      </c>
      <c r="U9" s="27">
        <f t="shared" ref="U9:U26" si="9">(T9/$M9)*100</f>
        <v>3.08874787</v>
      </c>
      <c r="V9" s="23">
        <v>4853300.0</v>
      </c>
      <c r="W9" s="27">
        <f t="shared" ref="W9:W26" si="10">(V9/$M9)*100</f>
        <v>17.46175526</v>
      </c>
      <c r="X9" s="23">
        <v>4012681.0</v>
      </c>
      <c r="Y9" s="27">
        <f t="shared" ref="Y9:Y26" si="11">(X9/$M9)*100</f>
        <v>14.43728052</v>
      </c>
      <c r="Z9" s="23">
        <v>181993.0</v>
      </c>
      <c r="AA9" s="27">
        <f t="shared" ref="AA9:AA26" si="12">(Z9/$M9)*100</f>
        <v>0.6547951341</v>
      </c>
      <c r="AB9" s="41"/>
    </row>
    <row r="10">
      <c r="A10" s="25" t="s">
        <v>38</v>
      </c>
      <c r="B10" s="26">
        <f>'Estimated Totals'!B8</f>
        <v>3009545</v>
      </c>
      <c r="C10" s="26">
        <v>529212.0</v>
      </c>
      <c r="D10" s="31">
        <f t="shared" si="1"/>
        <v>17.58445213</v>
      </c>
      <c r="E10" s="26">
        <v>183393.0</v>
      </c>
      <c r="F10" s="31">
        <f t="shared" si="2"/>
        <v>6.09371184</v>
      </c>
      <c r="G10" s="26">
        <v>11333.0</v>
      </c>
      <c r="H10" s="31">
        <f t="shared" si="3"/>
        <v>0.3765685511</v>
      </c>
      <c r="I10" s="26">
        <v>1202151.0</v>
      </c>
      <c r="J10" s="31">
        <f t="shared" si="4"/>
        <v>39.94460957</v>
      </c>
      <c r="K10" s="26">
        <v>72812.0</v>
      </c>
      <c r="L10" s="31">
        <f t="shared" si="5"/>
        <v>2.419369041</v>
      </c>
      <c r="M10" s="26">
        <v>3667731.0</v>
      </c>
      <c r="N10" s="26">
        <v>539224.0</v>
      </c>
      <c r="O10" s="31">
        <f t="shared" si="6"/>
        <v>14.70184155</v>
      </c>
      <c r="P10" s="26">
        <v>1251863.0</v>
      </c>
      <c r="Q10" s="31">
        <f t="shared" si="7"/>
        <v>34.13181065</v>
      </c>
      <c r="R10" s="26">
        <v>617584.0</v>
      </c>
      <c r="S10" s="31">
        <f t="shared" si="8"/>
        <v>16.8383123</v>
      </c>
      <c r="T10" s="26">
        <v>51408.0</v>
      </c>
      <c r="U10" s="31">
        <f t="shared" si="9"/>
        <v>1.401629509</v>
      </c>
      <c r="V10" s="26">
        <v>662537.0</v>
      </c>
      <c r="W10" s="31">
        <f t="shared" si="10"/>
        <v>18.06394744</v>
      </c>
      <c r="X10" s="26">
        <v>387450.0</v>
      </c>
      <c r="Y10" s="31">
        <f t="shared" si="11"/>
        <v>10.56375181</v>
      </c>
      <c r="Z10" s="26">
        <v>1044.0</v>
      </c>
      <c r="AA10" s="31">
        <f t="shared" si="12"/>
        <v>0.02846446481</v>
      </c>
      <c r="AB10" s="41"/>
    </row>
    <row r="11">
      <c r="A11" s="25" t="s">
        <v>41</v>
      </c>
      <c r="B11" s="26">
        <f>'Estimated Totals'!B9</f>
        <v>388188</v>
      </c>
      <c r="C11" s="26">
        <v>77139.0</v>
      </c>
      <c r="D11" s="31">
        <f t="shared" si="1"/>
        <v>19.87155708</v>
      </c>
      <c r="E11" s="26">
        <v>6215.0</v>
      </c>
      <c r="F11" s="31">
        <f t="shared" si="2"/>
        <v>1.601028368</v>
      </c>
      <c r="G11" s="26">
        <v>18806.0</v>
      </c>
      <c r="H11" s="31">
        <f t="shared" si="3"/>
        <v>4.844559852</v>
      </c>
      <c r="I11" s="26">
        <v>106880.0</v>
      </c>
      <c r="J11" s="31">
        <f t="shared" si="4"/>
        <v>27.533051</v>
      </c>
      <c r="K11" s="26">
        <v>6592.0</v>
      </c>
      <c r="L11" s="31">
        <f t="shared" si="5"/>
        <v>1.698146259</v>
      </c>
      <c r="M11" s="26">
        <v>468413.0</v>
      </c>
      <c r="N11" s="26">
        <v>114311.0</v>
      </c>
      <c r="O11" s="31">
        <f t="shared" si="6"/>
        <v>24.40389144</v>
      </c>
      <c r="P11" s="26">
        <v>85212.0</v>
      </c>
      <c r="Q11" s="31">
        <f t="shared" si="7"/>
        <v>18.19163858</v>
      </c>
      <c r="R11" s="26">
        <v>130465.0</v>
      </c>
      <c r="S11" s="31">
        <f t="shared" si="8"/>
        <v>27.85255747</v>
      </c>
      <c r="T11" s="26">
        <v>44615.0</v>
      </c>
      <c r="U11" s="31">
        <f t="shared" si="9"/>
        <v>9.524714301</v>
      </c>
      <c r="V11" s="26">
        <v>94151.0</v>
      </c>
      <c r="W11" s="31">
        <f t="shared" si="10"/>
        <v>20.09999722</v>
      </c>
      <c r="X11" s="26">
        <v>26319.0</v>
      </c>
      <c r="Y11" s="31">
        <f t="shared" si="11"/>
        <v>5.618759514</v>
      </c>
      <c r="Z11" s="26">
        <v>359.0</v>
      </c>
      <c r="AA11" s="31">
        <f t="shared" si="12"/>
        <v>0.07664176699</v>
      </c>
      <c r="AB11" s="41"/>
    </row>
    <row r="12">
      <c r="A12" s="25" t="s">
        <v>43</v>
      </c>
      <c r="B12" s="26">
        <f>'Estimated Totals'!B10</f>
        <v>1250337</v>
      </c>
      <c r="C12" s="26">
        <v>131179.0</v>
      </c>
      <c r="D12" s="31">
        <f t="shared" si="1"/>
        <v>10.49149149</v>
      </c>
      <c r="E12" s="26">
        <v>100036.0</v>
      </c>
      <c r="F12" s="31">
        <f t="shared" si="2"/>
        <v>8.000723005</v>
      </c>
      <c r="G12" s="26">
        <v>2212.0</v>
      </c>
      <c r="H12" s="31">
        <f t="shared" si="3"/>
        <v>0.1769123044</v>
      </c>
      <c r="I12" s="26">
        <v>454726.0</v>
      </c>
      <c r="J12" s="31">
        <f t="shared" si="4"/>
        <v>36.36827511</v>
      </c>
      <c r="K12" s="26">
        <v>55347.0</v>
      </c>
      <c r="L12" s="31">
        <f t="shared" si="5"/>
        <v>4.426566598</v>
      </c>
      <c r="M12" s="26">
        <v>1316881.0</v>
      </c>
      <c r="N12" s="26">
        <v>365440.0</v>
      </c>
      <c r="O12" s="31">
        <f t="shared" si="6"/>
        <v>27.75041936</v>
      </c>
      <c r="P12" s="26">
        <v>274078.0</v>
      </c>
      <c r="Q12" s="31">
        <f t="shared" si="7"/>
        <v>20.81266265</v>
      </c>
      <c r="R12" s="26">
        <v>351369.0</v>
      </c>
      <c r="S12" s="31">
        <f t="shared" si="8"/>
        <v>26.68190975</v>
      </c>
      <c r="T12" s="26">
        <v>126549.0</v>
      </c>
      <c r="U12" s="31">
        <f t="shared" si="9"/>
        <v>9.609752134</v>
      </c>
      <c r="V12" s="26">
        <v>426762.0</v>
      </c>
      <c r="W12" s="31">
        <f t="shared" si="10"/>
        <v>32.40702843</v>
      </c>
      <c r="X12" s="26">
        <v>53196.0</v>
      </c>
      <c r="Y12" s="31">
        <f t="shared" si="11"/>
        <v>4.039544955</v>
      </c>
      <c r="Z12" s="26">
        <v>0.0</v>
      </c>
      <c r="AA12" s="31">
        <f t="shared" si="12"/>
        <v>0</v>
      </c>
      <c r="AB12" s="41"/>
    </row>
    <row r="13">
      <c r="A13" s="25" t="s">
        <v>44</v>
      </c>
      <c r="B13" s="26">
        <f>'Estimated Totals'!B11</f>
        <v>855893</v>
      </c>
      <c r="C13" s="26">
        <v>83914.0</v>
      </c>
      <c r="D13" s="31">
        <f t="shared" si="1"/>
        <v>9.804262916</v>
      </c>
      <c r="E13" s="26">
        <v>39942.0</v>
      </c>
      <c r="F13" s="31">
        <f t="shared" si="2"/>
        <v>4.666704833</v>
      </c>
      <c r="G13" s="26">
        <v>35092.0</v>
      </c>
      <c r="H13" s="31">
        <f t="shared" si="3"/>
        <v>4.100045216</v>
      </c>
      <c r="I13" s="26">
        <v>392258.0</v>
      </c>
      <c r="J13" s="31">
        <f t="shared" si="4"/>
        <v>45.83026149</v>
      </c>
      <c r="K13" s="26">
        <v>15761.0</v>
      </c>
      <c r="L13" s="31">
        <f t="shared" si="5"/>
        <v>1.841468501</v>
      </c>
      <c r="M13" s="26">
        <v>934252.0</v>
      </c>
      <c r="N13" s="26">
        <v>241421.0</v>
      </c>
      <c r="O13" s="31">
        <f t="shared" si="6"/>
        <v>25.84110069</v>
      </c>
      <c r="P13" s="26">
        <v>155188.0</v>
      </c>
      <c r="Q13" s="31">
        <f t="shared" si="7"/>
        <v>16.61093581</v>
      </c>
      <c r="R13" s="26">
        <v>155267.0</v>
      </c>
      <c r="S13" s="31">
        <f t="shared" si="8"/>
        <v>16.61939177</v>
      </c>
      <c r="T13" s="26">
        <v>29258.0</v>
      </c>
      <c r="U13" s="31">
        <f t="shared" si="9"/>
        <v>3.131703224</v>
      </c>
      <c r="V13" s="26">
        <v>164899.0</v>
      </c>
      <c r="W13" s="31">
        <f t="shared" si="10"/>
        <v>17.65037699</v>
      </c>
      <c r="X13" s="26">
        <v>28020.0</v>
      </c>
      <c r="Y13" s="31">
        <f t="shared" si="11"/>
        <v>2.999190796</v>
      </c>
      <c r="Z13" s="26">
        <v>11367.0</v>
      </c>
      <c r="AA13" s="31">
        <f t="shared" si="12"/>
        <v>1.216695281</v>
      </c>
      <c r="AB13" s="41"/>
    </row>
    <row r="14">
      <c r="A14" s="25" t="s">
        <v>46</v>
      </c>
      <c r="B14" s="26">
        <f>'Estimated Totals'!B12</f>
        <v>2823200</v>
      </c>
      <c r="C14" s="26">
        <v>270128.0</v>
      </c>
      <c r="D14" s="31">
        <f t="shared" si="1"/>
        <v>9.568149617</v>
      </c>
      <c r="E14" s="26">
        <v>195663.0</v>
      </c>
      <c r="F14" s="31">
        <f t="shared" si="2"/>
        <v>6.930539813</v>
      </c>
      <c r="G14" s="26">
        <v>31114.0</v>
      </c>
      <c r="H14" s="31">
        <f t="shared" si="3"/>
        <v>1.102082743</v>
      </c>
      <c r="I14" s="26">
        <v>877237.0</v>
      </c>
      <c r="J14" s="31">
        <f t="shared" si="4"/>
        <v>31.07243553</v>
      </c>
      <c r="K14" s="26">
        <v>6160.0</v>
      </c>
      <c r="L14" s="31">
        <f t="shared" si="5"/>
        <v>0.2181921224</v>
      </c>
      <c r="M14" s="26">
        <v>3161851.0</v>
      </c>
      <c r="N14" s="26">
        <v>543172.0</v>
      </c>
      <c r="O14" s="31">
        <f t="shared" si="6"/>
        <v>17.17892462</v>
      </c>
      <c r="P14" s="26">
        <v>546460.0</v>
      </c>
      <c r="Q14" s="31">
        <f t="shared" si="7"/>
        <v>17.28291434</v>
      </c>
      <c r="R14" s="26">
        <v>545151.0</v>
      </c>
      <c r="S14" s="31">
        <f t="shared" si="8"/>
        <v>17.24151454</v>
      </c>
      <c r="T14" s="26">
        <v>74043.0</v>
      </c>
      <c r="U14" s="31">
        <f t="shared" si="9"/>
        <v>2.341761203</v>
      </c>
      <c r="V14" s="26">
        <v>459584.0</v>
      </c>
      <c r="W14" s="31">
        <f t="shared" si="10"/>
        <v>14.53528329</v>
      </c>
      <c r="X14" s="26">
        <v>163743.0</v>
      </c>
      <c r="Y14" s="31">
        <f t="shared" si="11"/>
        <v>5.17870703</v>
      </c>
      <c r="Z14" s="26">
        <v>26133.0</v>
      </c>
      <c r="AA14" s="31">
        <f t="shared" si="12"/>
        <v>0.8265095351</v>
      </c>
      <c r="AB14" s="41"/>
    </row>
    <row r="15">
      <c r="A15" s="25" t="s">
        <v>48</v>
      </c>
      <c r="B15" s="26">
        <f>'Estimated Totals'!B13</f>
        <v>3486186</v>
      </c>
      <c r="C15" s="26">
        <v>714557.0</v>
      </c>
      <c r="D15" s="31">
        <f t="shared" si="1"/>
        <v>20.49681228</v>
      </c>
      <c r="E15" s="26">
        <v>266782.0</v>
      </c>
      <c r="F15" s="31">
        <f t="shared" si="2"/>
        <v>7.652546364</v>
      </c>
      <c r="G15" s="26">
        <v>2205.0</v>
      </c>
      <c r="H15" s="31">
        <f t="shared" si="3"/>
        <v>0.06324963728</v>
      </c>
      <c r="I15" s="26">
        <v>1646400.0</v>
      </c>
      <c r="J15" s="31">
        <f t="shared" si="4"/>
        <v>47.22639584</v>
      </c>
      <c r="K15" s="26">
        <v>94218.0</v>
      </c>
      <c r="L15" s="31">
        <f t="shared" si="5"/>
        <v>2.702609671</v>
      </c>
      <c r="M15" s="26">
        <v>4369198.0</v>
      </c>
      <c r="N15" s="26">
        <v>828096.0</v>
      </c>
      <c r="O15" s="31">
        <f t="shared" si="6"/>
        <v>18.95304356</v>
      </c>
      <c r="P15" s="26">
        <v>1011162.0</v>
      </c>
      <c r="Q15" s="31">
        <f t="shared" si="7"/>
        <v>23.14296583</v>
      </c>
      <c r="R15" s="26">
        <v>827369.0</v>
      </c>
      <c r="S15" s="31">
        <f t="shared" si="8"/>
        <v>18.93640435</v>
      </c>
      <c r="T15" s="26">
        <v>111048.0</v>
      </c>
      <c r="U15" s="31">
        <f t="shared" si="9"/>
        <v>2.541610611</v>
      </c>
      <c r="V15" s="26">
        <v>747237.0</v>
      </c>
      <c r="W15" s="31">
        <f t="shared" si="10"/>
        <v>17.10238355</v>
      </c>
      <c r="X15" s="26">
        <v>506128.0</v>
      </c>
      <c r="Y15" s="31">
        <f t="shared" si="11"/>
        <v>11.58400237</v>
      </c>
      <c r="Z15" s="26">
        <v>1850.0</v>
      </c>
      <c r="AA15" s="31">
        <f t="shared" si="12"/>
        <v>0.04234186686</v>
      </c>
      <c r="AB15" s="41"/>
    </row>
    <row r="16">
      <c r="A16" s="25" t="s">
        <v>50</v>
      </c>
      <c r="B16" s="26">
        <f>'Estimated Totals'!B14</f>
        <v>686916</v>
      </c>
      <c r="C16" s="26">
        <v>229378.0</v>
      </c>
      <c r="D16" s="31">
        <f t="shared" si="1"/>
        <v>33.39243809</v>
      </c>
      <c r="E16" s="26">
        <v>26982.0</v>
      </c>
      <c r="F16" s="31">
        <f t="shared" si="2"/>
        <v>3.927991195</v>
      </c>
      <c r="G16" s="26">
        <v>5658.0</v>
      </c>
      <c r="H16" s="31">
        <f t="shared" si="3"/>
        <v>0.8236814982</v>
      </c>
      <c r="I16" s="26">
        <v>164601.0</v>
      </c>
      <c r="J16" s="31">
        <f t="shared" si="4"/>
        <v>23.96231854</v>
      </c>
      <c r="K16" s="26">
        <v>33633.0</v>
      </c>
      <c r="L16" s="31">
        <f t="shared" si="5"/>
        <v>4.896231854</v>
      </c>
      <c r="M16" s="26">
        <v>828498.0</v>
      </c>
      <c r="N16" s="26">
        <v>191872.0</v>
      </c>
      <c r="O16" s="31">
        <f t="shared" si="6"/>
        <v>23.15901789</v>
      </c>
      <c r="P16" s="26">
        <v>148661.0</v>
      </c>
      <c r="Q16" s="31">
        <f t="shared" si="7"/>
        <v>17.94343499</v>
      </c>
      <c r="R16" s="26">
        <v>122809.0</v>
      </c>
      <c r="S16" s="31">
        <f t="shared" si="8"/>
        <v>14.82308949</v>
      </c>
      <c r="T16" s="26">
        <v>31253.0</v>
      </c>
      <c r="U16" s="31">
        <f t="shared" si="9"/>
        <v>3.772248092</v>
      </c>
      <c r="V16" s="26">
        <v>163396.0</v>
      </c>
      <c r="W16" s="31">
        <f t="shared" si="10"/>
        <v>19.72195467</v>
      </c>
      <c r="X16" s="26">
        <v>90439.0</v>
      </c>
      <c r="Y16" s="31">
        <f t="shared" si="11"/>
        <v>10.91601911</v>
      </c>
      <c r="Z16" s="26">
        <v>3513.0</v>
      </c>
      <c r="AA16" s="31">
        <f t="shared" si="12"/>
        <v>0.4240203356</v>
      </c>
      <c r="AB16" s="41"/>
    </row>
    <row r="17">
      <c r="A17" s="25" t="s">
        <v>51</v>
      </c>
      <c r="B17" s="26">
        <f>'Estimated Totals'!B15</f>
        <v>1030986</v>
      </c>
      <c r="C17" s="26">
        <v>111995.0</v>
      </c>
      <c r="D17" s="31">
        <f t="shared" si="1"/>
        <v>10.86290212</v>
      </c>
      <c r="E17" s="26">
        <v>18074.0</v>
      </c>
      <c r="F17" s="31">
        <f t="shared" si="2"/>
        <v>1.753079091</v>
      </c>
      <c r="G17" s="26">
        <v>5013.0</v>
      </c>
      <c r="H17" s="31">
        <f t="shared" si="3"/>
        <v>0.4862335667</v>
      </c>
      <c r="I17" s="26">
        <v>180200.0</v>
      </c>
      <c r="J17" s="31">
        <f t="shared" si="4"/>
        <v>17.47841387</v>
      </c>
      <c r="K17" s="26">
        <v>164826.0</v>
      </c>
      <c r="L17" s="31">
        <f t="shared" si="5"/>
        <v>15.98722</v>
      </c>
      <c r="M17" s="26">
        <v>1384033.0</v>
      </c>
      <c r="N17" s="26">
        <v>256214.0</v>
      </c>
      <c r="O17" s="31">
        <f t="shared" si="6"/>
        <v>18.51213085</v>
      </c>
      <c r="P17" s="26">
        <v>193053.0</v>
      </c>
      <c r="Q17" s="31">
        <f t="shared" si="7"/>
        <v>13.9485836</v>
      </c>
      <c r="R17" s="26">
        <v>130125.0</v>
      </c>
      <c r="S17" s="31">
        <f t="shared" si="8"/>
        <v>9.401871198</v>
      </c>
      <c r="T17" s="26">
        <v>28223.0</v>
      </c>
      <c r="U17" s="31">
        <f t="shared" si="9"/>
        <v>2.039185482</v>
      </c>
      <c r="V17" s="26">
        <v>214876.0</v>
      </c>
      <c r="W17" s="31">
        <f t="shared" si="10"/>
        <v>15.52535236</v>
      </c>
      <c r="X17" s="26">
        <v>167724.0</v>
      </c>
      <c r="Y17" s="31">
        <f t="shared" si="11"/>
        <v>12.11849717</v>
      </c>
      <c r="Z17" s="26">
        <v>13755.0</v>
      </c>
      <c r="AA17" s="31">
        <f t="shared" si="12"/>
        <v>0.9938346846</v>
      </c>
      <c r="AB17" s="41"/>
    </row>
    <row r="18">
      <c r="A18" s="25" t="s">
        <v>53</v>
      </c>
      <c r="B18" s="26">
        <f>'Estimated Totals'!B16</f>
        <v>1705556</v>
      </c>
      <c r="C18" s="26">
        <v>315566.0</v>
      </c>
      <c r="D18" s="31">
        <f t="shared" si="1"/>
        <v>18.50223622</v>
      </c>
      <c r="E18" s="26">
        <v>211556.0</v>
      </c>
      <c r="F18" s="31">
        <f t="shared" si="2"/>
        <v>12.40393162</v>
      </c>
      <c r="G18" s="26">
        <v>15906.0</v>
      </c>
      <c r="H18" s="31">
        <f t="shared" si="3"/>
        <v>0.9325991055</v>
      </c>
      <c r="I18" s="26">
        <v>483299.0</v>
      </c>
      <c r="J18" s="31">
        <f t="shared" si="4"/>
        <v>28.3367418</v>
      </c>
      <c r="K18" s="26">
        <v>11322.0</v>
      </c>
      <c r="L18" s="31">
        <f t="shared" si="5"/>
        <v>0.6638304459</v>
      </c>
      <c r="M18" s="26">
        <v>2040922.0</v>
      </c>
      <c r="N18" s="26">
        <v>417834.0</v>
      </c>
      <c r="O18" s="31">
        <f t="shared" si="6"/>
        <v>20.47280592</v>
      </c>
      <c r="P18" s="26">
        <v>334031.0</v>
      </c>
      <c r="Q18" s="31">
        <f t="shared" si="7"/>
        <v>16.36667153</v>
      </c>
      <c r="R18" s="26">
        <v>292385.0</v>
      </c>
      <c r="S18" s="31">
        <f t="shared" si="8"/>
        <v>14.32612319</v>
      </c>
      <c r="T18" s="26">
        <v>104849.0</v>
      </c>
      <c r="U18" s="31">
        <f t="shared" si="9"/>
        <v>5.137334989</v>
      </c>
      <c r="V18" s="26">
        <v>392816.0</v>
      </c>
      <c r="W18" s="31">
        <f t="shared" si="10"/>
        <v>19.24698739</v>
      </c>
      <c r="X18" s="26">
        <v>341235.0</v>
      </c>
      <c r="Y18" s="31">
        <f t="shared" si="11"/>
        <v>16.71964926</v>
      </c>
      <c r="Z18" s="26">
        <v>28008.0</v>
      </c>
      <c r="AA18" s="31">
        <f t="shared" si="12"/>
        <v>1.372320941</v>
      </c>
      <c r="AB18" s="41"/>
    </row>
    <row r="19">
      <c r="A19" s="25" t="s">
        <v>54</v>
      </c>
      <c r="B19" s="26">
        <f>'Estimated Totals'!B17</f>
        <v>1820052</v>
      </c>
      <c r="C19" s="26">
        <v>112293.0</v>
      </c>
      <c r="D19" s="31">
        <f t="shared" si="1"/>
        <v>6.169768776</v>
      </c>
      <c r="E19" s="26">
        <v>49979.0</v>
      </c>
      <c r="F19" s="31">
        <f t="shared" si="2"/>
        <v>2.746020443</v>
      </c>
      <c r="G19" s="26">
        <v>16358.0</v>
      </c>
      <c r="H19" s="31">
        <f t="shared" si="3"/>
        <v>0.8987655298</v>
      </c>
      <c r="I19" s="26">
        <v>651950.0</v>
      </c>
      <c r="J19" s="31">
        <f t="shared" si="4"/>
        <v>35.82040513</v>
      </c>
      <c r="K19" s="26">
        <v>4182.0</v>
      </c>
      <c r="L19" s="31">
        <f t="shared" si="5"/>
        <v>0.2297736548</v>
      </c>
      <c r="M19" s="26">
        <v>2077216.0</v>
      </c>
      <c r="N19" s="26">
        <v>447157.0</v>
      </c>
      <c r="O19" s="31">
        <f t="shared" si="6"/>
        <v>21.52674541</v>
      </c>
      <c r="P19" s="26">
        <v>459695.0</v>
      </c>
      <c r="Q19" s="31">
        <f t="shared" si="7"/>
        <v>22.13034177</v>
      </c>
      <c r="R19" s="26">
        <v>283197.0</v>
      </c>
      <c r="S19" s="31">
        <f t="shared" si="8"/>
        <v>13.63348828</v>
      </c>
      <c r="T19" s="26">
        <v>56333.0</v>
      </c>
      <c r="U19" s="31">
        <f t="shared" si="9"/>
        <v>2.711947145</v>
      </c>
      <c r="V19" s="26">
        <v>417045.0</v>
      </c>
      <c r="W19" s="31">
        <f t="shared" si="10"/>
        <v>20.07711283</v>
      </c>
      <c r="X19" s="26">
        <v>463348.0</v>
      </c>
      <c r="Y19" s="31">
        <f t="shared" si="11"/>
        <v>22.30620215</v>
      </c>
      <c r="Z19" s="26">
        <v>16363.0</v>
      </c>
      <c r="AA19" s="31">
        <f t="shared" si="12"/>
        <v>0.787737048</v>
      </c>
      <c r="AB19" s="41"/>
    </row>
    <row r="20">
      <c r="A20" s="25" t="s">
        <v>56</v>
      </c>
      <c r="B20" s="26">
        <f>'Estimated Totals'!B18</f>
        <v>1042723</v>
      </c>
      <c r="C20" s="26">
        <v>187452.0</v>
      </c>
      <c r="D20" s="31">
        <f t="shared" si="1"/>
        <v>17.97716172</v>
      </c>
      <c r="E20" s="26">
        <v>23635.0</v>
      </c>
      <c r="F20" s="31">
        <f t="shared" si="2"/>
        <v>2.266661424</v>
      </c>
      <c r="G20" s="26">
        <v>4245.0</v>
      </c>
      <c r="H20" s="31">
        <f t="shared" si="3"/>
        <v>0.4071071608</v>
      </c>
      <c r="I20" s="26">
        <v>279829.0</v>
      </c>
      <c r="J20" s="31">
        <f t="shared" si="4"/>
        <v>26.83636977</v>
      </c>
      <c r="K20" s="26">
        <v>62382.0</v>
      </c>
      <c r="L20" s="31">
        <f t="shared" si="5"/>
        <v>5.98260516</v>
      </c>
      <c r="M20" s="26">
        <v>1200913.0</v>
      </c>
      <c r="N20" s="26">
        <v>203525.0</v>
      </c>
      <c r="O20" s="31">
        <f t="shared" si="6"/>
        <v>16.94752243</v>
      </c>
      <c r="P20" s="26">
        <v>194687.0</v>
      </c>
      <c r="Q20" s="31">
        <f t="shared" si="7"/>
        <v>16.21158235</v>
      </c>
      <c r="R20" s="26">
        <v>55357.0</v>
      </c>
      <c r="S20" s="31">
        <f t="shared" si="8"/>
        <v>4.609576214</v>
      </c>
      <c r="T20" s="26">
        <v>20929.0</v>
      </c>
      <c r="U20" s="31">
        <f t="shared" si="9"/>
        <v>1.742757385</v>
      </c>
      <c r="V20" s="26">
        <v>173735.0</v>
      </c>
      <c r="W20" s="31">
        <f t="shared" si="10"/>
        <v>14.46690976</v>
      </c>
      <c r="X20" s="26">
        <v>209601.0</v>
      </c>
      <c r="Y20" s="31">
        <f t="shared" si="11"/>
        <v>17.45347082</v>
      </c>
      <c r="Z20" s="26">
        <v>38353.0</v>
      </c>
      <c r="AA20" s="31">
        <f t="shared" si="12"/>
        <v>3.193653495</v>
      </c>
      <c r="AB20" s="41"/>
    </row>
    <row r="21" ht="15.75" customHeight="1">
      <c r="A21" s="25" t="s">
        <v>57</v>
      </c>
      <c r="B21" s="26">
        <f>'Estimated Totals'!B19</f>
        <v>743735</v>
      </c>
      <c r="C21" s="26">
        <v>122828.0</v>
      </c>
      <c r="D21" s="31">
        <f t="shared" si="1"/>
        <v>16.51502215</v>
      </c>
      <c r="E21" s="26">
        <v>16013.0</v>
      </c>
      <c r="F21" s="31">
        <f t="shared" si="2"/>
        <v>2.153051826</v>
      </c>
      <c r="G21" s="26">
        <v>28932.0</v>
      </c>
      <c r="H21" s="31">
        <f t="shared" si="3"/>
        <v>3.890095262</v>
      </c>
      <c r="I21" s="26">
        <v>266179.0</v>
      </c>
      <c r="J21" s="31">
        <f t="shared" si="4"/>
        <v>35.78949491</v>
      </c>
      <c r="K21" s="26">
        <v>9301.0</v>
      </c>
      <c r="L21" s="31">
        <f t="shared" si="5"/>
        <v>1.250579844</v>
      </c>
      <c r="M21" s="26">
        <v>903490.0</v>
      </c>
      <c r="N21" s="26">
        <v>134624.0</v>
      </c>
      <c r="O21" s="31">
        <f t="shared" si="6"/>
        <v>14.90044162</v>
      </c>
      <c r="P21" s="26">
        <v>93624.0</v>
      </c>
      <c r="Q21" s="31">
        <f t="shared" si="7"/>
        <v>10.36248326</v>
      </c>
      <c r="R21" s="26">
        <v>112795.0</v>
      </c>
      <c r="S21" s="31">
        <f t="shared" si="8"/>
        <v>12.48436618</v>
      </c>
      <c r="T21" s="26">
        <v>20595.0</v>
      </c>
      <c r="U21" s="31">
        <f t="shared" si="9"/>
        <v>2.279493962</v>
      </c>
      <c r="V21" s="26">
        <v>117121.0</v>
      </c>
      <c r="W21" s="31">
        <f t="shared" si="10"/>
        <v>12.96317613</v>
      </c>
      <c r="X21" s="26">
        <v>176892.0</v>
      </c>
      <c r="Y21" s="31">
        <f t="shared" si="11"/>
        <v>19.57874465</v>
      </c>
      <c r="Z21" s="26">
        <v>18043.0</v>
      </c>
      <c r="AA21" s="31">
        <f t="shared" si="12"/>
        <v>1.997033725</v>
      </c>
      <c r="AB21" s="41"/>
    </row>
    <row r="22" ht="15.75" customHeight="1">
      <c r="A22" s="25" t="s">
        <v>59</v>
      </c>
      <c r="B22" s="26">
        <f>'Estimated Totals'!B20</f>
        <v>1058458</v>
      </c>
      <c r="C22" s="26">
        <v>290600.0</v>
      </c>
      <c r="D22" s="31">
        <f t="shared" si="1"/>
        <v>27.45503364</v>
      </c>
      <c r="E22" s="26">
        <v>147926.0</v>
      </c>
      <c r="F22" s="31">
        <f t="shared" si="2"/>
        <v>13.97561358</v>
      </c>
      <c r="G22" s="26">
        <v>49088.0</v>
      </c>
      <c r="H22" s="31">
        <f t="shared" si="3"/>
        <v>4.637689923</v>
      </c>
      <c r="I22" s="26">
        <v>415911.0</v>
      </c>
      <c r="J22" s="31">
        <f t="shared" si="4"/>
        <v>39.29404851</v>
      </c>
      <c r="K22" s="26">
        <v>25111.0</v>
      </c>
      <c r="L22" s="31">
        <f t="shared" si="5"/>
        <v>2.372413454</v>
      </c>
      <c r="M22" s="26">
        <v>1248516.0</v>
      </c>
      <c r="N22" s="26">
        <v>263381.0</v>
      </c>
      <c r="O22" s="31">
        <f t="shared" si="6"/>
        <v>21.09552461</v>
      </c>
      <c r="P22" s="26">
        <v>186175.0</v>
      </c>
      <c r="Q22" s="31">
        <f t="shared" si="7"/>
        <v>14.91170317</v>
      </c>
      <c r="R22" s="26">
        <v>151478.0</v>
      </c>
      <c r="S22" s="31">
        <f t="shared" si="8"/>
        <v>12.13264387</v>
      </c>
      <c r="T22" s="26">
        <v>30969.0</v>
      </c>
      <c r="U22" s="31">
        <f t="shared" si="9"/>
        <v>2.480464808</v>
      </c>
      <c r="V22" s="26">
        <v>262366.0</v>
      </c>
      <c r="W22" s="31">
        <f t="shared" si="10"/>
        <v>21.01422809</v>
      </c>
      <c r="X22" s="26">
        <v>285722.0</v>
      </c>
      <c r="Y22" s="31">
        <f t="shared" si="11"/>
        <v>22.88492899</v>
      </c>
      <c r="Z22" s="26">
        <v>4782.0</v>
      </c>
      <c r="AA22" s="31">
        <f t="shared" si="12"/>
        <v>0.3830147151</v>
      </c>
      <c r="AB22" s="41"/>
    </row>
    <row r="23" ht="15.75" customHeight="1">
      <c r="A23" s="25" t="s">
        <v>60</v>
      </c>
      <c r="B23" s="26">
        <f>'Estimated Totals'!B21</f>
        <v>1273085</v>
      </c>
      <c r="C23" s="26">
        <v>193738.0</v>
      </c>
      <c r="D23" s="31">
        <f t="shared" si="1"/>
        <v>15.21799409</v>
      </c>
      <c r="E23" s="26">
        <v>29358.0</v>
      </c>
      <c r="F23" s="31">
        <f t="shared" si="2"/>
        <v>2.306051835</v>
      </c>
      <c r="G23" s="26">
        <v>7739.0</v>
      </c>
      <c r="H23" s="31">
        <f t="shared" si="3"/>
        <v>0.6078934242</v>
      </c>
      <c r="I23" s="26">
        <v>333968.0</v>
      </c>
      <c r="J23" s="31">
        <f t="shared" si="4"/>
        <v>26.23296952</v>
      </c>
      <c r="K23" s="26">
        <v>33653.0</v>
      </c>
      <c r="L23" s="31">
        <f t="shared" si="5"/>
        <v>2.643421296</v>
      </c>
      <c r="M23" s="26">
        <v>1492292.0</v>
      </c>
      <c r="N23" s="26">
        <v>260589.0</v>
      </c>
      <c r="O23" s="31">
        <f t="shared" si="6"/>
        <v>17.46233311</v>
      </c>
      <c r="P23" s="26">
        <v>222816.0</v>
      </c>
      <c r="Q23" s="31">
        <f t="shared" si="7"/>
        <v>14.93112608</v>
      </c>
      <c r="R23" s="26">
        <v>318554.0</v>
      </c>
      <c r="S23" s="31">
        <f t="shared" si="8"/>
        <v>21.34662653</v>
      </c>
      <c r="T23" s="26">
        <v>33609.0</v>
      </c>
      <c r="U23" s="31">
        <f t="shared" si="9"/>
        <v>2.252173167</v>
      </c>
      <c r="V23" s="26">
        <v>233494.0</v>
      </c>
      <c r="W23" s="31">
        <f t="shared" si="10"/>
        <v>15.64666969</v>
      </c>
      <c r="X23" s="26">
        <v>488969.0</v>
      </c>
      <c r="Y23" s="31">
        <f t="shared" si="11"/>
        <v>32.76630847</v>
      </c>
      <c r="Z23" s="26">
        <v>781.0</v>
      </c>
      <c r="AA23" s="31">
        <f t="shared" si="12"/>
        <v>0.05233560188</v>
      </c>
      <c r="AB23" s="41"/>
    </row>
    <row r="24" ht="15.75" customHeight="1">
      <c r="A24" s="25" t="s">
        <v>63</v>
      </c>
      <c r="B24" s="26">
        <f>'Estimated Totals'!B22</f>
        <v>1063239</v>
      </c>
      <c r="C24" s="26">
        <v>140158.0</v>
      </c>
      <c r="D24" s="31">
        <f t="shared" si="1"/>
        <v>13.18217259</v>
      </c>
      <c r="E24" s="26">
        <v>29289.0</v>
      </c>
      <c r="F24" s="31">
        <f t="shared" si="2"/>
        <v>2.754695793</v>
      </c>
      <c r="G24" s="26">
        <v>1461.0</v>
      </c>
      <c r="H24" s="31">
        <f t="shared" si="3"/>
        <v>0.1374103094</v>
      </c>
      <c r="I24" s="26">
        <v>404741.0</v>
      </c>
      <c r="J24" s="31">
        <f t="shared" si="4"/>
        <v>38.06679401</v>
      </c>
      <c r="K24" s="26">
        <v>11362.0</v>
      </c>
      <c r="L24" s="31">
        <f t="shared" si="5"/>
        <v>1.068621448</v>
      </c>
      <c r="M24" s="26">
        <v>1150631.0</v>
      </c>
      <c r="N24" s="26">
        <v>197109.0</v>
      </c>
      <c r="O24" s="31">
        <f t="shared" si="6"/>
        <v>17.13051361</v>
      </c>
      <c r="P24" s="26">
        <v>164842.0</v>
      </c>
      <c r="Q24" s="31">
        <f t="shared" si="7"/>
        <v>14.32622622</v>
      </c>
      <c r="R24" s="26">
        <v>156764.0</v>
      </c>
      <c r="S24" s="31">
        <f t="shared" si="8"/>
        <v>13.62417665</v>
      </c>
      <c r="T24" s="26">
        <v>45049.0</v>
      </c>
      <c r="U24" s="31">
        <f t="shared" si="9"/>
        <v>3.915156119</v>
      </c>
      <c r="V24" s="26">
        <v>141336.0</v>
      </c>
      <c r="W24" s="31">
        <f t="shared" si="10"/>
        <v>12.28334714</v>
      </c>
      <c r="X24" s="26">
        <v>250129.0</v>
      </c>
      <c r="Y24" s="31">
        <f t="shared" si="11"/>
        <v>21.73842005</v>
      </c>
      <c r="Z24" s="26">
        <v>4888.0</v>
      </c>
      <c r="AA24" s="31">
        <f t="shared" si="12"/>
        <v>0.4248103866</v>
      </c>
      <c r="AB24" s="41"/>
    </row>
    <row r="25" ht="15.75" customHeight="1">
      <c r="A25" s="25" t="s">
        <v>64</v>
      </c>
      <c r="B25" s="26">
        <f>'Estimated Totals'!B23</f>
        <v>601512</v>
      </c>
      <c r="C25" s="26">
        <v>101843.0</v>
      </c>
      <c r="D25" s="31">
        <f t="shared" si="1"/>
        <v>16.93116679</v>
      </c>
      <c r="E25" s="26">
        <v>11203.0</v>
      </c>
      <c r="F25" s="31">
        <f t="shared" si="2"/>
        <v>1.862473234</v>
      </c>
      <c r="G25" s="26">
        <v>2857.0</v>
      </c>
      <c r="H25" s="31">
        <f t="shared" si="3"/>
        <v>0.4749697429</v>
      </c>
      <c r="I25" s="26">
        <v>131843.0</v>
      </c>
      <c r="J25" s="31">
        <f t="shared" si="4"/>
        <v>21.91859847</v>
      </c>
      <c r="K25" s="26">
        <v>1730.0</v>
      </c>
      <c r="L25" s="31">
        <f t="shared" si="5"/>
        <v>0.2876085598</v>
      </c>
      <c r="M25" s="26">
        <v>703005.0</v>
      </c>
      <c r="N25" s="26">
        <v>171035.0</v>
      </c>
      <c r="O25" s="31">
        <f t="shared" si="6"/>
        <v>24.32912995</v>
      </c>
      <c r="P25" s="26">
        <v>95267.0</v>
      </c>
      <c r="Q25" s="31">
        <f t="shared" si="7"/>
        <v>13.55139722</v>
      </c>
      <c r="R25" s="26">
        <v>53740.0</v>
      </c>
      <c r="S25" s="31">
        <f t="shared" si="8"/>
        <v>7.644326854</v>
      </c>
      <c r="T25" s="26">
        <v>21847.0</v>
      </c>
      <c r="U25" s="31">
        <f t="shared" si="9"/>
        <v>3.107659263</v>
      </c>
      <c r="V25" s="26">
        <v>110808.0</v>
      </c>
      <c r="W25" s="31">
        <f t="shared" si="10"/>
        <v>15.76205006</v>
      </c>
      <c r="X25" s="26">
        <v>149896.0</v>
      </c>
      <c r="Y25" s="31">
        <f t="shared" si="11"/>
        <v>21.32218121</v>
      </c>
      <c r="Z25" s="26">
        <v>4010.0</v>
      </c>
      <c r="AA25" s="31">
        <f t="shared" si="12"/>
        <v>0.5704084608</v>
      </c>
      <c r="AB25" s="41"/>
    </row>
    <row r="26" ht="15.75" customHeight="1">
      <c r="A26" s="25" t="s">
        <v>65</v>
      </c>
      <c r="B26" s="26">
        <f>'Estimated Totals'!B24</f>
        <v>521349</v>
      </c>
      <c r="C26" s="26">
        <v>60274.0</v>
      </c>
      <c r="D26" s="31">
        <f t="shared" si="1"/>
        <v>11.56116153</v>
      </c>
      <c r="E26" s="26">
        <v>50696.0</v>
      </c>
      <c r="F26" s="31">
        <f t="shared" si="2"/>
        <v>9.724004458</v>
      </c>
      <c r="G26" s="26">
        <v>35344.0</v>
      </c>
      <c r="H26" s="31">
        <f t="shared" si="3"/>
        <v>6.779335915</v>
      </c>
      <c r="I26" s="26">
        <v>145577.0</v>
      </c>
      <c r="J26" s="31">
        <f t="shared" si="4"/>
        <v>27.92313786</v>
      </c>
      <c r="K26" s="26">
        <v>1480.0</v>
      </c>
      <c r="L26" s="31">
        <f t="shared" si="5"/>
        <v>0.2838789371</v>
      </c>
      <c r="M26" s="26">
        <v>846042.0</v>
      </c>
      <c r="N26" s="26">
        <v>84069.0</v>
      </c>
      <c r="O26" s="31">
        <f t="shared" si="6"/>
        <v>9.936740729</v>
      </c>
      <c r="P26" s="26">
        <v>60758.0</v>
      </c>
      <c r="Q26" s="31">
        <f t="shared" si="7"/>
        <v>7.181440165</v>
      </c>
      <c r="R26" s="26">
        <v>115285.0</v>
      </c>
      <c r="S26" s="31">
        <f t="shared" si="8"/>
        <v>13.62639207</v>
      </c>
      <c r="T26" s="26">
        <v>27907.0</v>
      </c>
      <c r="U26" s="31">
        <f t="shared" si="9"/>
        <v>3.298536006</v>
      </c>
      <c r="V26" s="26">
        <v>71137.0</v>
      </c>
      <c r="W26" s="31">
        <f t="shared" si="10"/>
        <v>8.408211413</v>
      </c>
      <c r="X26" s="26">
        <v>223869.0</v>
      </c>
      <c r="Y26" s="31">
        <f t="shared" si="11"/>
        <v>26.46074308</v>
      </c>
      <c r="Z26" s="26">
        <v>8743.0</v>
      </c>
      <c r="AA26" s="31">
        <f t="shared" si="12"/>
        <v>1.033400233</v>
      </c>
      <c r="AB26" s="41"/>
    </row>
    <row r="27" ht="15.75" customHeight="1">
      <c r="A27" s="28"/>
      <c r="B27" s="28"/>
      <c r="C27" s="28"/>
      <c r="D27" s="28"/>
      <c r="E27" s="28"/>
      <c r="F27" s="28"/>
      <c r="G27" s="28"/>
      <c r="H27" s="28"/>
      <c r="I27" s="28"/>
      <c r="J27" s="28"/>
      <c r="K27" s="28"/>
      <c r="L27" s="28"/>
      <c r="M27" s="28"/>
      <c r="N27" s="28"/>
      <c r="O27" s="28"/>
      <c r="P27" s="28"/>
      <c r="Q27" s="28"/>
      <c r="R27" s="28"/>
      <c r="S27" s="28"/>
      <c r="T27" s="28"/>
      <c r="U27" s="28"/>
      <c r="V27" s="28"/>
      <c r="W27" s="28"/>
      <c r="X27" s="28"/>
      <c r="Y27" s="28"/>
      <c r="Z27" s="28"/>
      <c r="AA27" s="28"/>
    </row>
    <row r="28" ht="15.75" customHeight="1">
      <c r="A28" s="9"/>
      <c r="B28" s="9"/>
      <c r="C28" s="9"/>
      <c r="D28" s="9"/>
      <c r="E28" s="9"/>
      <c r="F28" s="9"/>
      <c r="G28" s="9"/>
      <c r="H28" s="9"/>
      <c r="I28" s="9"/>
      <c r="J28" s="9"/>
      <c r="K28" s="9"/>
      <c r="L28" s="9"/>
      <c r="M28" s="9"/>
      <c r="N28" s="9"/>
      <c r="O28" s="9"/>
    </row>
    <row r="29" ht="15.75" customHeight="1">
      <c r="A29" s="29" t="s">
        <v>69</v>
      </c>
      <c r="B29" s="29"/>
      <c r="C29" s="29"/>
      <c r="D29" s="29"/>
      <c r="E29" s="29"/>
      <c r="F29" s="29"/>
      <c r="G29" s="29"/>
      <c r="H29" s="29"/>
      <c r="I29" s="29"/>
      <c r="J29" s="29"/>
      <c r="K29" s="29"/>
      <c r="L29" s="29"/>
      <c r="M29" s="29"/>
      <c r="N29" s="29"/>
      <c r="O29" s="29"/>
      <c r="P29" s="29"/>
      <c r="Q29" s="29"/>
      <c r="R29" s="30"/>
      <c r="S29" s="30"/>
      <c r="T29" s="30"/>
      <c r="U29" s="30"/>
      <c r="V29" s="30"/>
      <c r="W29" s="30"/>
      <c r="X29" s="30"/>
    </row>
    <row r="30" ht="15.75" customHeight="1">
      <c r="A30" s="29" t="s">
        <v>72</v>
      </c>
      <c r="B30" s="29"/>
      <c r="C30" s="29"/>
      <c r="D30" s="29"/>
      <c r="E30" s="29"/>
      <c r="F30" s="29"/>
      <c r="G30" s="29"/>
      <c r="H30" s="29"/>
      <c r="I30" s="29"/>
      <c r="J30" s="29"/>
      <c r="K30" s="29"/>
      <c r="L30" s="29"/>
      <c r="M30" s="29"/>
      <c r="N30" s="29"/>
      <c r="O30" s="29"/>
      <c r="P30" s="29"/>
      <c r="Q30" s="29"/>
      <c r="R30" s="30"/>
      <c r="S30" s="30"/>
      <c r="T30" s="30"/>
      <c r="U30" s="30"/>
      <c r="V30" s="30"/>
      <c r="W30" s="30"/>
      <c r="X30" s="30"/>
    </row>
    <row r="31" ht="15.75" customHeight="1">
      <c r="A31" s="29" t="s">
        <v>229</v>
      </c>
      <c r="B31" s="29"/>
      <c r="C31" s="29"/>
      <c r="D31" s="29"/>
      <c r="E31" s="29"/>
      <c r="F31" s="29"/>
      <c r="G31" s="29"/>
      <c r="H31" s="29"/>
      <c r="I31" s="29"/>
      <c r="J31" s="29"/>
      <c r="K31" s="29"/>
      <c r="L31" s="29"/>
      <c r="M31" s="29"/>
      <c r="N31" s="29"/>
      <c r="O31" s="29"/>
      <c r="P31" s="29"/>
      <c r="Q31" s="29"/>
      <c r="R31" s="30"/>
      <c r="S31" s="30"/>
      <c r="T31" s="30"/>
      <c r="U31" s="30"/>
      <c r="V31" s="30"/>
      <c r="W31" s="30"/>
      <c r="X31" s="30"/>
    </row>
    <row r="32" ht="15.75" customHeight="1">
      <c r="A32" s="32" t="s">
        <v>76</v>
      </c>
    </row>
    <row r="33" ht="15.75" customHeight="1">
      <c r="A33" s="32"/>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C6:D6"/>
    <mergeCell ref="E6:F6"/>
    <mergeCell ref="G6:H6"/>
    <mergeCell ref="I6:J6"/>
    <mergeCell ref="K6:L6"/>
    <mergeCell ref="N6:O6"/>
    <mergeCell ref="A32:X32"/>
    <mergeCell ref="A33:X33"/>
    <mergeCell ref="P6:Q6"/>
    <mergeCell ref="R6:S6"/>
    <mergeCell ref="T6:U6"/>
    <mergeCell ref="V6:W6"/>
    <mergeCell ref="X6:Y6"/>
    <mergeCell ref="Z6:AA6"/>
    <mergeCell ref="A4:A7"/>
    <mergeCell ref="B4:L4"/>
    <mergeCell ref="M4:AA4"/>
    <mergeCell ref="B5:B7"/>
    <mergeCell ref="C5:L5"/>
    <mergeCell ref="M5:M7"/>
    <mergeCell ref="N5:AA5"/>
  </mergeCells>
  <hyperlinks>
    <hyperlink display="BACK TO LIST" location="LIST!A1" ref="A1"/>
  </hyperlinks>
  <printOptions/>
  <pageMargins bottom="0.75" footer="0.0" header="0.0" left="0.7" right="0.7" top="0.75"/>
  <pageSetup paperSize="9" orientation="portrait"/>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9"/>
    <pageSetUpPr/>
  </sheetPr>
  <sheetViews>
    <sheetView workbookViewId="0"/>
  </sheetViews>
  <sheetFormatPr customHeight="1" defaultColWidth="12.63" defaultRowHeight="15.0"/>
  <cols>
    <col customWidth="1" min="1" max="1" width="39.0"/>
    <col customWidth="1" min="2" max="19" width="14.0"/>
    <col customWidth="1" min="20" max="26" width="8.63"/>
  </cols>
  <sheetData>
    <row r="1">
      <c r="A1" s="5" t="s">
        <v>1</v>
      </c>
      <c r="B1" s="5"/>
      <c r="C1" s="5"/>
      <c r="D1" s="5"/>
      <c r="E1" s="5"/>
      <c r="F1" s="5"/>
      <c r="G1" s="5"/>
      <c r="H1" s="5"/>
      <c r="I1" s="5"/>
      <c r="J1" s="5"/>
    </row>
    <row r="2" ht="15.0" customHeight="1">
      <c r="A2" s="33" t="s">
        <v>192</v>
      </c>
      <c r="B2" s="33"/>
      <c r="C2" s="33"/>
      <c r="D2" s="33"/>
      <c r="E2" s="33"/>
      <c r="F2" s="33"/>
      <c r="G2" s="33"/>
      <c r="H2" s="33"/>
      <c r="I2" s="33"/>
      <c r="J2" s="33"/>
      <c r="K2" s="33"/>
      <c r="L2" s="33"/>
      <c r="M2" s="33"/>
    </row>
    <row r="3">
      <c r="A3" s="8"/>
      <c r="B3" s="8"/>
      <c r="C3" s="8"/>
      <c r="D3" s="8"/>
      <c r="E3" s="8"/>
      <c r="F3" s="8"/>
      <c r="G3" s="8"/>
      <c r="H3" s="8"/>
      <c r="I3" s="8"/>
      <c r="J3" s="8"/>
      <c r="K3" s="9"/>
      <c r="L3" s="9"/>
      <c r="M3" s="9"/>
    </row>
    <row r="4">
      <c r="A4" s="10" t="s">
        <v>13</v>
      </c>
      <c r="B4" s="12">
        <v>2019.0</v>
      </c>
      <c r="C4" s="14"/>
      <c r="D4" s="14"/>
      <c r="E4" s="14"/>
      <c r="F4" s="14"/>
      <c r="G4" s="14"/>
      <c r="H4" s="14"/>
      <c r="I4" s="14"/>
      <c r="J4" s="15"/>
      <c r="K4" s="12">
        <v>2024.0</v>
      </c>
      <c r="L4" s="14"/>
      <c r="M4" s="14"/>
      <c r="N4" s="14"/>
      <c r="O4" s="14"/>
      <c r="P4" s="14"/>
      <c r="Q4" s="14"/>
      <c r="R4" s="14"/>
      <c r="S4" s="15"/>
    </row>
    <row r="5" ht="15.0" customHeight="1">
      <c r="A5" s="17"/>
      <c r="B5" s="21" t="s">
        <v>143</v>
      </c>
      <c r="C5" s="49" t="s">
        <v>194</v>
      </c>
      <c r="D5" s="37"/>
      <c r="E5" s="13" t="s">
        <v>193</v>
      </c>
      <c r="F5" s="14"/>
      <c r="G5" s="14"/>
      <c r="H5" s="14"/>
      <c r="I5" s="14"/>
      <c r="J5" s="15"/>
      <c r="K5" s="21" t="s">
        <v>143</v>
      </c>
      <c r="L5" s="49" t="s">
        <v>194</v>
      </c>
      <c r="M5" s="37"/>
      <c r="N5" s="13" t="s">
        <v>193</v>
      </c>
      <c r="O5" s="14"/>
      <c r="P5" s="14"/>
      <c r="Q5" s="14"/>
      <c r="R5" s="14"/>
      <c r="S5" s="15"/>
    </row>
    <row r="6" ht="15.0" customHeight="1">
      <c r="A6" s="17"/>
      <c r="B6" s="17"/>
      <c r="C6" s="39"/>
      <c r="D6" s="40"/>
      <c r="E6" s="13" t="s">
        <v>196</v>
      </c>
      <c r="F6" s="15"/>
      <c r="G6" s="13" t="s">
        <v>197</v>
      </c>
      <c r="H6" s="15"/>
      <c r="I6" s="13" t="s">
        <v>198</v>
      </c>
      <c r="J6" s="15"/>
      <c r="K6" s="17"/>
      <c r="L6" s="39"/>
      <c r="M6" s="40"/>
      <c r="N6" s="13" t="s">
        <v>196</v>
      </c>
      <c r="O6" s="15"/>
      <c r="P6" s="13" t="s">
        <v>197</v>
      </c>
      <c r="Q6" s="15"/>
      <c r="R6" s="13" t="s">
        <v>198</v>
      </c>
      <c r="S6" s="15"/>
    </row>
    <row r="7">
      <c r="A7" s="18"/>
      <c r="B7" s="18"/>
      <c r="C7" s="24" t="s">
        <v>37</v>
      </c>
      <c r="D7" s="24" t="s">
        <v>39</v>
      </c>
      <c r="E7" s="24" t="s">
        <v>37</v>
      </c>
      <c r="F7" s="24" t="s">
        <v>39</v>
      </c>
      <c r="G7" s="24" t="s">
        <v>37</v>
      </c>
      <c r="H7" s="24" t="s">
        <v>39</v>
      </c>
      <c r="I7" s="24" t="s">
        <v>37</v>
      </c>
      <c r="J7" s="24" t="s">
        <v>39</v>
      </c>
      <c r="K7" s="18"/>
      <c r="L7" s="24" t="s">
        <v>37</v>
      </c>
      <c r="M7" s="24" t="s">
        <v>39</v>
      </c>
      <c r="N7" s="24" t="s">
        <v>37</v>
      </c>
      <c r="O7" s="24" t="s">
        <v>39</v>
      </c>
      <c r="P7" s="24" t="s">
        <v>37</v>
      </c>
      <c r="Q7" s="24" t="s">
        <v>39</v>
      </c>
      <c r="R7" s="24" t="s">
        <v>37</v>
      </c>
      <c r="S7" s="24" t="s">
        <v>39</v>
      </c>
    </row>
    <row r="8">
      <c r="A8" s="16"/>
      <c r="B8" s="16"/>
      <c r="C8" s="16"/>
      <c r="D8" s="16"/>
      <c r="E8" s="16"/>
      <c r="F8" s="16"/>
      <c r="G8" s="16"/>
      <c r="H8" s="16"/>
      <c r="I8" s="16"/>
      <c r="J8" s="16"/>
      <c r="K8" s="20"/>
      <c r="L8" s="20"/>
      <c r="M8" s="20"/>
      <c r="N8" s="20"/>
      <c r="O8" s="20"/>
      <c r="P8" s="20"/>
      <c r="Q8" s="20"/>
      <c r="R8" s="20"/>
      <c r="S8" s="20"/>
    </row>
    <row r="9">
      <c r="A9" s="22" t="s">
        <v>33</v>
      </c>
      <c r="B9" s="23">
        <f>'Estimated Totals'!D7</f>
        <v>83258836</v>
      </c>
      <c r="C9" s="23">
        <v>1.5284052E7</v>
      </c>
      <c r="D9" s="27">
        <f t="shared" ref="D9:D26" si="1">(C9/$B9)*100</f>
        <v>18.35727321</v>
      </c>
      <c r="E9" s="22">
        <v>8622071.0</v>
      </c>
      <c r="F9" s="27">
        <f t="shared" ref="F9:F26" si="2">(E9/$C9)*100</f>
        <v>56.41220666</v>
      </c>
      <c r="G9" s="22">
        <v>6023599.0</v>
      </c>
      <c r="H9" s="27">
        <f t="shared" ref="H9:H26" si="3">(G9/$C9)*100</f>
        <v>39.41100828</v>
      </c>
      <c r="I9" s="22">
        <v>3413144.0</v>
      </c>
      <c r="J9" s="27">
        <f t="shared" ref="J9:J26" si="4">(I9/$C9)*100</f>
        <v>22.33140793</v>
      </c>
      <c r="K9" s="23">
        <v>9.138322789941406E7</v>
      </c>
      <c r="L9" s="23">
        <v>1.6326632227172852E7</v>
      </c>
      <c r="M9" s="27">
        <f t="shared" ref="M9:M26" si="5">(L9/K9)*100</f>
        <v>17.86611461</v>
      </c>
      <c r="N9" s="23">
        <v>8080340.878631592</v>
      </c>
      <c r="O9" s="27">
        <f t="shared" ref="O9:O26" si="6">(N9/$L9)*100</f>
        <v>49.49177985</v>
      </c>
      <c r="P9" s="23">
        <v>1.1005037308990479E7</v>
      </c>
      <c r="Q9" s="27">
        <f t="shared" ref="Q9:Q26" si="7">(P9/$L9)*100</f>
        <v>67.40543399</v>
      </c>
      <c r="R9" s="23">
        <v>2266916.9477233887</v>
      </c>
      <c r="S9" s="27">
        <f t="shared" ref="S9:S26" si="8">(R9/$L9)*100</f>
        <v>13.88477989</v>
      </c>
      <c r="T9" s="41"/>
      <c r="U9" s="41"/>
      <c r="V9" s="41"/>
      <c r="W9" s="41"/>
    </row>
    <row r="10">
      <c r="A10" s="25" t="s">
        <v>38</v>
      </c>
      <c r="B10" s="26">
        <f>'Estimated Totals'!D8</f>
        <v>11005073</v>
      </c>
      <c r="C10" s="26">
        <v>3374600.0</v>
      </c>
      <c r="D10" s="31">
        <f t="shared" si="1"/>
        <v>30.66404012</v>
      </c>
      <c r="E10" s="25">
        <v>2242936.0</v>
      </c>
      <c r="F10" s="31">
        <f t="shared" si="2"/>
        <v>66.46524032</v>
      </c>
      <c r="G10" s="25">
        <v>1460132.0</v>
      </c>
      <c r="H10" s="31">
        <f t="shared" si="3"/>
        <v>43.26829847</v>
      </c>
      <c r="I10" s="25">
        <v>452767.0</v>
      </c>
      <c r="J10" s="31">
        <f t="shared" si="4"/>
        <v>13.41690867</v>
      </c>
      <c r="K10" s="26">
        <v>1.191946790246582E7</v>
      </c>
      <c r="L10" s="26">
        <v>3504411.075805664</v>
      </c>
      <c r="M10" s="31">
        <f t="shared" si="5"/>
        <v>29.4007342</v>
      </c>
      <c r="N10" s="26">
        <v>1603100.7318115234</v>
      </c>
      <c r="O10" s="31">
        <f t="shared" si="6"/>
        <v>45.74522501</v>
      </c>
      <c r="P10" s="26">
        <v>2401785.913330078</v>
      </c>
      <c r="Q10" s="31">
        <f t="shared" si="7"/>
        <v>68.53607814</v>
      </c>
      <c r="R10" s="26">
        <v>592359.1608886719</v>
      </c>
      <c r="S10" s="31">
        <f t="shared" si="8"/>
        <v>16.90324417</v>
      </c>
      <c r="T10" s="41"/>
      <c r="U10" s="41"/>
      <c r="V10" s="41"/>
      <c r="W10" s="41"/>
    </row>
    <row r="11">
      <c r="A11" s="25" t="s">
        <v>41</v>
      </c>
      <c r="B11" s="26">
        <f>'Estimated Totals'!D9</f>
        <v>1394660</v>
      </c>
      <c r="C11" s="26">
        <v>217204.0</v>
      </c>
      <c r="D11" s="31">
        <f t="shared" si="1"/>
        <v>15.57397502</v>
      </c>
      <c r="E11" s="25">
        <v>110168.0</v>
      </c>
      <c r="F11" s="31">
        <f t="shared" si="2"/>
        <v>50.7209812</v>
      </c>
      <c r="G11" s="25">
        <v>119816.0</v>
      </c>
      <c r="H11" s="31">
        <f t="shared" si="3"/>
        <v>55.16288834</v>
      </c>
      <c r="I11" s="25">
        <v>21908.0</v>
      </c>
      <c r="J11" s="31">
        <f t="shared" si="4"/>
        <v>10.08637042</v>
      </c>
      <c r="K11" s="26">
        <v>1496048.9758605957</v>
      </c>
      <c r="L11" s="26">
        <v>311851.8217468262</v>
      </c>
      <c r="M11" s="31">
        <f t="shared" si="5"/>
        <v>20.84502759</v>
      </c>
      <c r="N11" s="26">
        <v>150470.2655029297</v>
      </c>
      <c r="O11" s="31">
        <f t="shared" si="6"/>
        <v>48.25056485</v>
      </c>
      <c r="P11" s="26">
        <v>215407.14682006836</v>
      </c>
      <c r="Q11" s="31">
        <f t="shared" si="7"/>
        <v>69.07355731</v>
      </c>
      <c r="R11" s="26">
        <v>36987.27981567383</v>
      </c>
      <c r="S11" s="31">
        <f t="shared" si="8"/>
        <v>11.8605303</v>
      </c>
      <c r="T11" s="41"/>
      <c r="U11" s="41"/>
      <c r="V11" s="41"/>
      <c r="W11" s="41"/>
    </row>
    <row r="12">
      <c r="A12" s="25" t="s">
        <v>43</v>
      </c>
      <c r="B12" s="26">
        <f>'Estimated Totals'!D10</f>
        <v>4063052</v>
      </c>
      <c r="C12" s="26">
        <v>609906.0</v>
      </c>
      <c r="D12" s="31">
        <f t="shared" si="1"/>
        <v>15.01103112</v>
      </c>
      <c r="E12" s="25">
        <v>267617.0</v>
      </c>
      <c r="F12" s="31">
        <f t="shared" si="2"/>
        <v>43.87840093</v>
      </c>
      <c r="G12" s="25">
        <v>295684.0</v>
      </c>
      <c r="H12" s="31">
        <f t="shared" si="3"/>
        <v>48.48025761</v>
      </c>
      <c r="I12" s="25">
        <v>143984.0</v>
      </c>
      <c r="J12" s="31">
        <f t="shared" si="4"/>
        <v>23.60757231</v>
      </c>
      <c r="K12" s="26">
        <v>4389510.026855469</v>
      </c>
      <c r="L12" s="26">
        <v>653858.6927490234</v>
      </c>
      <c r="M12" s="31">
        <f t="shared" si="5"/>
        <v>14.89593801</v>
      </c>
      <c r="N12" s="26">
        <v>330361.2639160156</v>
      </c>
      <c r="O12" s="31">
        <f t="shared" si="6"/>
        <v>50.52487144</v>
      </c>
      <c r="P12" s="26">
        <v>397762.12744140625</v>
      </c>
      <c r="Q12" s="31">
        <f t="shared" si="7"/>
        <v>60.83304112</v>
      </c>
      <c r="R12" s="26">
        <v>122017.19262695312</v>
      </c>
      <c r="S12" s="31">
        <f t="shared" si="8"/>
        <v>18.66109512</v>
      </c>
      <c r="T12" s="41"/>
      <c r="U12" s="41"/>
      <c r="V12" s="41"/>
      <c r="W12" s="41"/>
    </row>
    <row r="13">
      <c r="A13" s="25" t="s">
        <v>44</v>
      </c>
      <c r="B13" s="26">
        <f>'Estimated Totals'!D11</f>
        <v>2820240</v>
      </c>
      <c r="C13" s="26">
        <v>440791.0</v>
      </c>
      <c r="D13" s="31">
        <f t="shared" si="1"/>
        <v>15.62955635</v>
      </c>
      <c r="E13" s="25">
        <v>177313.0</v>
      </c>
      <c r="F13" s="31">
        <f t="shared" si="2"/>
        <v>40.22609355</v>
      </c>
      <c r="G13" s="25">
        <v>246578.0</v>
      </c>
      <c r="H13" s="31">
        <f t="shared" si="3"/>
        <v>55.93988988</v>
      </c>
      <c r="I13" s="25">
        <v>61690.0</v>
      </c>
      <c r="J13" s="31">
        <f t="shared" si="4"/>
        <v>13.99529482</v>
      </c>
      <c r="K13" s="26">
        <v>3055893.980407715</v>
      </c>
      <c r="L13" s="26">
        <v>524739.2536010742</v>
      </c>
      <c r="M13" s="31">
        <f t="shared" si="5"/>
        <v>17.17138281</v>
      </c>
      <c r="N13" s="26">
        <v>205036.5164794922</v>
      </c>
      <c r="O13" s="31">
        <f t="shared" si="6"/>
        <v>39.07398104</v>
      </c>
      <c r="P13" s="26">
        <v>404639.8143310547</v>
      </c>
      <c r="Q13" s="31">
        <f t="shared" si="7"/>
        <v>77.11254905</v>
      </c>
      <c r="R13" s="26">
        <v>75819.49835205078</v>
      </c>
      <c r="S13" s="31">
        <f t="shared" si="8"/>
        <v>14.44898544</v>
      </c>
      <c r="T13" s="41"/>
      <c r="U13" s="41"/>
      <c r="V13" s="41"/>
      <c r="W13" s="41"/>
    </row>
    <row r="14">
      <c r="A14" s="25" t="s">
        <v>46</v>
      </c>
      <c r="B14" s="26">
        <f>'Estimated Totals'!D12</f>
        <v>9585315</v>
      </c>
      <c r="C14" s="26">
        <v>1649861.0</v>
      </c>
      <c r="D14" s="31">
        <f t="shared" si="1"/>
        <v>17.21238165</v>
      </c>
      <c r="E14" s="25">
        <v>712611.0</v>
      </c>
      <c r="F14" s="31">
        <f t="shared" si="2"/>
        <v>43.19218407</v>
      </c>
      <c r="G14" s="25">
        <v>719687.0</v>
      </c>
      <c r="H14" s="31">
        <f t="shared" si="3"/>
        <v>43.62106868</v>
      </c>
      <c r="I14" s="25">
        <v>346909.0</v>
      </c>
      <c r="J14" s="31">
        <f t="shared" si="4"/>
        <v>21.02655921</v>
      </c>
      <c r="K14" s="26">
        <v>1.0708290046020508E7</v>
      </c>
      <c r="L14" s="26">
        <v>1897999.689086914</v>
      </c>
      <c r="M14" s="31">
        <f t="shared" si="5"/>
        <v>17.72458236</v>
      </c>
      <c r="N14" s="26">
        <v>794966.3840332031</v>
      </c>
      <c r="O14" s="31">
        <f t="shared" si="6"/>
        <v>41.88443173</v>
      </c>
      <c r="P14" s="26">
        <v>1415988.4095458984</v>
      </c>
      <c r="Q14" s="31">
        <f t="shared" si="7"/>
        <v>74.60424876</v>
      </c>
      <c r="R14" s="26">
        <v>285725.6787109375</v>
      </c>
      <c r="S14" s="31">
        <f t="shared" si="8"/>
        <v>15.05404244</v>
      </c>
      <c r="T14" s="41"/>
      <c r="U14" s="41"/>
      <c r="V14" s="41"/>
      <c r="W14" s="41"/>
    </row>
    <row r="15">
      <c r="A15" s="25" t="s">
        <v>48</v>
      </c>
      <c r="B15" s="26">
        <f>'Estimated Totals'!D13</f>
        <v>12457452</v>
      </c>
      <c r="C15" s="26">
        <v>3620392.0</v>
      </c>
      <c r="D15" s="31">
        <f t="shared" si="1"/>
        <v>29.0620586</v>
      </c>
      <c r="E15" s="25">
        <v>1832090.0</v>
      </c>
      <c r="F15" s="31">
        <f t="shared" si="2"/>
        <v>50.60474114</v>
      </c>
      <c r="G15" s="25">
        <v>1117351.0</v>
      </c>
      <c r="H15" s="31">
        <f t="shared" si="3"/>
        <v>30.86270768</v>
      </c>
      <c r="I15" s="25">
        <v>1336101.0</v>
      </c>
      <c r="J15" s="31">
        <f t="shared" si="4"/>
        <v>36.90487107</v>
      </c>
      <c r="K15" s="26">
        <v>1.3985526019042969E7</v>
      </c>
      <c r="L15" s="26">
        <v>3038614.7368164062</v>
      </c>
      <c r="M15" s="31">
        <f t="shared" si="5"/>
        <v>21.72685341</v>
      </c>
      <c r="N15" s="26">
        <v>1788097.5419921875</v>
      </c>
      <c r="O15" s="31">
        <f t="shared" si="6"/>
        <v>58.84581287</v>
      </c>
      <c r="P15" s="26">
        <v>1987090.4497070312</v>
      </c>
      <c r="Q15" s="31">
        <f t="shared" si="7"/>
        <v>65.39461636</v>
      </c>
      <c r="R15" s="26">
        <v>406081.5068359375</v>
      </c>
      <c r="S15" s="31">
        <f t="shared" si="8"/>
        <v>13.36403401</v>
      </c>
      <c r="T15" s="41"/>
      <c r="U15" s="41"/>
      <c r="V15" s="41"/>
      <c r="W15" s="41"/>
    </row>
    <row r="16">
      <c r="A16" s="25" t="s">
        <v>50</v>
      </c>
      <c r="B16" s="26">
        <f>'Estimated Totals'!D14</f>
        <v>2347582</v>
      </c>
      <c r="C16" s="26">
        <v>343371.0</v>
      </c>
      <c r="D16" s="31">
        <f t="shared" si="1"/>
        <v>14.62658173</v>
      </c>
      <c r="E16" s="25">
        <v>207659.0</v>
      </c>
      <c r="F16" s="31">
        <f t="shared" si="2"/>
        <v>60.47656908</v>
      </c>
      <c r="G16" s="25">
        <v>147945.0</v>
      </c>
      <c r="H16" s="31">
        <f t="shared" si="3"/>
        <v>43.08604978</v>
      </c>
      <c r="I16" s="25">
        <v>54275.0</v>
      </c>
      <c r="J16" s="31">
        <f t="shared" si="4"/>
        <v>15.80651831</v>
      </c>
      <c r="K16" s="26">
        <v>2538126.0362854004</v>
      </c>
      <c r="L16" s="26">
        <v>371869.6637573242</v>
      </c>
      <c r="M16" s="31">
        <f t="shared" si="5"/>
        <v>14.65134743</v>
      </c>
      <c r="N16" s="26">
        <v>159364.31469726562</v>
      </c>
      <c r="O16" s="31">
        <f t="shared" si="6"/>
        <v>42.85488445</v>
      </c>
      <c r="P16" s="26">
        <v>285951.88903808594</v>
      </c>
      <c r="Q16" s="31">
        <f t="shared" si="7"/>
        <v>76.89572904</v>
      </c>
      <c r="R16" s="26">
        <v>59661.99932861328</v>
      </c>
      <c r="S16" s="31">
        <f t="shared" si="8"/>
        <v>16.04379307</v>
      </c>
      <c r="T16" s="41"/>
      <c r="U16" s="41"/>
      <c r="V16" s="41"/>
      <c r="W16" s="41"/>
    </row>
    <row r="17">
      <c r="A17" s="25" t="s">
        <v>51</v>
      </c>
      <c r="B17" s="26">
        <f>'Estimated Totals'!D15</f>
        <v>4528646</v>
      </c>
      <c r="C17" s="26">
        <v>745745.0</v>
      </c>
      <c r="D17" s="31">
        <f t="shared" si="1"/>
        <v>16.46728404</v>
      </c>
      <c r="E17" s="25">
        <v>408901.0</v>
      </c>
      <c r="F17" s="31">
        <f t="shared" si="2"/>
        <v>54.83120906</v>
      </c>
      <c r="G17" s="25">
        <v>348640.0</v>
      </c>
      <c r="H17" s="31">
        <f t="shared" si="3"/>
        <v>46.75056487</v>
      </c>
      <c r="I17" s="25">
        <v>205262.0</v>
      </c>
      <c r="J17" s="31">
        <f t="shared" si="4"/>
        <v>27.52442189</v>
      </c>
      <c r="K17" s="26">
        <v>4884805.015930176</v>
      </c>
      <c r="L17" s="26">
        <v>665051.1845703125</v>
      </c>
      <c r="M17" s="31">
        <f t="shared" si="5"/>
        <v>13.61469255</v>
      </c>
      <c r="N17" s="26">
        <v>299027.7180786133</v>
      </c>
      <c r="O17" s="31">
        <f t="shared" si="6"/>
        <v>44.96311337</v>
      </c>
      <c r="P17" s="26">
        <v>485918.2646484375</v>
      </c>
      <c r="Q17" s="31">
        <f t="shared" si="7"/>
        <v>73.06479199</v>
      </c>
      <c r="R17" s="26">
        <v>69860.0570678711</v>
      </c>
      <c r="S17" s="31">
        <f t="shared" si="8"/>
        <v>10.50446322</v>
      </c>
      <c r="T17" s="41"/>
      <c r="U17" s="41"/>
      <c r="V17" s="41"/>
      <c r="W17" s="41"/>
    </row>
    <row r="18">
      <c r="A18" s="25" t="s">
        <v>53</v>
      </c>
      <c r="B18" s="26">
        <f>'Estimated Totals'!D16</f>
        <v>6087553</v>
      </c>
      <c r="C18" s="26">
        <v>728694.0</v>
      </c>
      <c r="D18" s="31">
        <f t="shared" si="1"/>
        <v>11.97022843</v>
      </c>
      <c r="E18" s="25">
        <v>376364.0</v>
      </c>
      <c r="F18" s="31">
        <f t="shared" si="2"/>
        <v>51.64911472</v>
      </c>
      <c r="G18" s="25">
        <v>312758.0</v>
      </c>
      <c r="H18" s="31">
        <f t="shared" si="3"/>
        <v>42.92034791</v>
      </c>
      <c r="I18" s="25">
        <v>189190.0</v>
      </c>
      <c r="J18" s="31">
        <f t="shared" si="4"/>
        <v>25.96288703</v>
      </c>
      <c r="K18" s="26">
        <v>6586874.0048828125</v>
      </c>
      <c r="L18" s="26">
        <v>881483.5455322266</v>
      </c>
      <c r="M18" s="31">
        <f t="shared" si="5"/>
        <v>13.38242609</v>
      </c>
      <c r="N18" s="26">
        <v>483426.79943847656</v>
      </c>
      <c r="O18" s="31">
        <f t="shared" si="6"/>
        <v>54.84240765</v>
      </c>
      <c r="P18" s="26">
        <v>549641.0858154297</v>
      </c>
      <c r="Q18" s="31">
        <f t="shared" si="7"/>
        <v>62.35409482</v>
      </c>
      <c r="R18" s="26">
        <v>119386.00109863281</v>
      </c>
      <c r="S18" s="31">
        <f t="shared" si="8"/>
        <v>13.54375833</v>
      </c>
      <c r="T18" s="41"/>
      <c r="U18" s="41"/>
      <c r="V18" s="41"/>
      <c r="W18" s="41"/>
    </row>
    <row r="19">
      <c r="A19" s="25" t="s">
        <v>54</v>
      </c>
      <c r="B19" s="26">
        <f>'Estimated Totals'!D17</f>
        <v>6058752</v>
      </c>
      <c r="C19" s="26">
        <v>592764.0</v>
      </c>
      <c r="D19" s="31">
        <f t="shared" si="1"/>
        <v>9.783598999</v>
      </c>
      <c r="E19" s="25">
        <v>414209.0</v>
      </c>
      <c r="F19" s="31">
        <f t="shared" si="2"/>
        <v>69.87755667</v>
      </c>
      <c r="G19" s="25">
        <v>192250.0</v>
      </c>
      <c r="H19" s="31">
        <f t="shared" si="3"/>
        <v>32.43280631</v>
      </c>
      <c r="I19" s="25">
        <v>118727.0</v>
      </c>
      <c r="J19" s="31">
        <f t="shared" si="4"/>
        <v>20.02938775</v>
      </c>
      <c r="K19" s="26">
        <v>6668939.95300293</v>
      </c>
      <c r="L19" s="26">
        <v>1377557.4364013672</v>
      </c>
      <c r="M19" s="31">
        <f t="shared" si="5"/>
        <v>20.65631789</v>
      </c>
      <c r="N19" s="26">
        <v>793909.0319824219</v>
      </c>
      <c r="O19" s="31">
        <f t="shared" si="6"/>
        <v>57.63164649</v>
      </c>
      <c r="P19" s="26">
        <v>821616.7156982422</v>
      </c>
      <c r="Q19" s="31">
        <f t="shared" si="7"/>
        <v>59.64300972</v>
      </c>
      <c r="R19" s="26">
        <v>135424.25659179688</v>
      </c>
      <c r="S19" s="31">
        <f t="shared" si="8"/>
        <v>9.830752099</v>
      </c>
      <c r="T19" s="41"/>
      <c r="U19" s="41"/>
      <c r="V19" s="41"/>
      <c r="W19" s="41"/>
    </row>
    <row r="20">
      <c r="A20" s="25" t="s">
        <v>56</v>
      </c>
      <c r="B20" s="26">
        <f>'Estimated Totals'!D18</f>
        <v>3529248</v>
      </c>
      <c r="C20" s="26">
        <v>633212.0</v>
      </c>
      <c r="D20" s="31">
        <f t="shared" si="1"/>
        <v>17.94183917</v>
      </c>
      <c r="E20" s="25">
        <v>338824.0</v>
      </c>
      <c r="F20" s="31">
        <f t="shared" si="2"/>
        <v>53.50877747</v>
      </c>
      <c r="G20" s="25">
        <v>278624.0</v>
      </c>
      <c r="H20" s="31">
        <f t="shared" si="3"/>
        <v>44.00169296</v>
      </c>
      <c r="I20" s="25">
        <v>92424.0</v>
      </c>
      <c r="J20" s="31">
        <f t="shared" si="4"/>
        <v>14.59605946</v>
      </c>
      <c r="K20" s="26">
        <v>3864214.988647461</v>
      </c>
      <c r="L20" s="26">
        <v>578535.4729003906</v>
      </c>
      <c r="M20" s="31">
        <f t="shared" si="5"/>
        <v>14.97161712</v>
      </c>
      <c r="N20" s="26">
        <v>229353.0174560547</v>
      </c>
      <c r="O20" s="31">
        <f t="shared" si="6"/>
        <v>39.64372596</v>
      </c>
      <c r="P20" s="26">
        <v>434975.61627197266</v>
      </c>
      <c r="Q20" s="31">
        <f t="shared" si="7"/>
        <v>75.18564317</v>
      </c>
      <c r="R20" s="26">
        <v>58312.7802734375</v>
      </c>
      <c r="S20" s="31">
        <f t="shared" si="8"/>
        <v>10.07937854</v>
      </c>
      <c r="T20" s="41"/>
      <c r="U20" s="41"/>
      <c r="V20" s="41"/>
      <c r="W20" s="41"/>
    </row>
    <row r="21" ht="15.75" customHeight="1">
      <c r="A21" s="25" t="s">
        <v>57</v>
      </c>
      <c r="B21" s="26">
        <f>'Estimated Totals'!D19</f>
        <v>2856878</v>
      </c>
      <c r="C21" s="26">
        <v>308306.0</v>
      </c>
      <c r="D21" s="31">
        <f t="shared" si="1"/>
        <v>10.79171039</v>
      </c>
      <c r="E21" s="25">
        <v>196335.0</v>
      </c>
      <c r="F21" s="31">
        <f t="shared" si="2"/>
        <v>63.68186153</v>
      </c>
      <c r="G21" s="25">
        <v>112374.0</v>
      </c>
      <c r="H21" s="31">
        <f t="shared" si="3"/>
        <v>36.44885276</v>
      </c>
      <c r="I21" s="25">
        <v>50956.0</v>
      </c>
      <c r="J21" s="31">
        <f t="shared" si="4"/>
        <v>16.52773543</v>
      </c>
      <c r="K21" s="26">
        <v>3062610.9721679688</v>
      </c>
      <c r="L21" s="26">
        <v>246672.71020507812</v>
      </c>
      <c r="M21" s="31">
        <f t="shared" si="5"/>
        <v>8.054327254</v>
      </c>
      <c r="N21" s="26">
        <v>75652.54626464844</v>
      </c>
      <c r="O21" s="31">
        <f t="shared" si="6"/>
        <v>30.66919977</v>
      </c>
      <c r="P21" s="26">
        <v>185049.37426757812</v>
      </c>
      <c r="Q21" s="31">
        <f t="shared" si="7"/>
        <v>75.01817859</v>
      </c>
      <c r="R21" s="26">
        <v>51872.73156738281</v>
      </c>
      <c r="S21" s="31">
        <f t="shared" si="8"/>
        <v>21.02897054</v>
      </c>
      <c r="T21" s="41"/>
      <c r="U21" s="41"/>
      <c r="V21" s="41"/>
      <c r="W21" s="41"/>
    </row>
    <row r="22" ht="15.75" customHeight="1">
      <c r="A22" s="25" t="s">
        <v>59</v>
      </c>
      <c r="B22" s="26">
        <f>'Estimated Totals'!D20</f>
        <v>3802692</v>
      </c>
      <c r="C22" s="26">
        <v>395390.0</v>
      </c>
      <c r="D22" s="31">
        <f t="shared" si="1"/>
        <v>10.3976341</v>
      </c>
      <c r="E22" s="25">
        <v>287131.0</v>
      </c>
      <c r="F22" s="31">
        <f t="shared" si="2"/>
        <v>72.61969195</v>
      </c>
      <c r="G22" s="25">
        <v>109216.0</v>
      </c>
      <c r="H22" s="31">
        <f t="shared" si="3"/>
        <v>27.62234756</v>
      </c>
      <c r="I22" s="25">
        <v>68321.0</v>
      </c>
      <c r="J22" s="31">
        <f t="shared" si="4"/>
        <v>17.27939503</v>
      </c>
      <c r="K22" s="26">
        <v>4175625.988708496</v>
      </c>
      <c r="L22" s="26">
        <v>817740.2270507812</v>
      </c>
      <c r="M22" s="31">
        <f t="shared" si="5"/>
        <v>19.58365594</v>
      </c>
      <c r="N22" s="26">
        <v>431437.77990722656</v>
      </c>
      <c r="O22" s="31">
        <f t="shared" si="6"/>
        <v>52.75975984</v>
      </c>
      <c r="P22" s="26">
        <v>488369.29626464844</v>
      </c>
      <c r="Q22" s="31">
        <f t="shared" si="7"/>
        <v>59.72181386</v>
      </c>
      <c r="R22" s="26">
        <v>80565.01550292969</v>
      </c>
      <c r="S22" s="31">
        <f t="shared" si="8"/>
        <v>9.852152657</v>
      </c>
      <c r="T22" s="41"/>
      <c r="U22" s="41"/>
      <c r="V22" s="41"/>
      <c r="W22" s="41"/>
    </row>
    <row r="23" ht="15.75" customHeight="1">
      <c r="A23" s="25" t="s">
        <v>60</v>
      </c>
      <c r="B23" s="26">
        <f>'Estimated Totals'!D21</f>
        <v>4022390</v>
      </c>
      <c r="C23" s="26">
        <v>631885.0</v>
      </c>
      <c r="D23" s="31">
        <f t="shared" si="1"/>
        <v>15.70919279</v>
      </c>
      <c r="E23" s="25">
        <v>422520.0</v>
      </c>
      <c r="F23" s="31">
        <f t="shared" si="2"/>
        <v>66.86659756</v>
      </c>
      <c r="G23" s="25">
        <v>230939.0</v>
      </c>
      <c r="H23" s="31">
        <f t="shared" si="3"/>
        <v>36.54763129</v>
      </c>
      <c r="I23" s="25">
        <v>98778.0</v>
      </c>
      <c r="J23" s="31">
        <f t="shared" si="4"/>
        <v>15.63227486</v>
      </c>
      <c r="K23" s="26">
        <v>4443602.033325195</v>
      </c>
      <c r="L23" s="26">
        <v>464469.9656982422</v>
      </c>
      <c r="M23" s="31">
        <f t="shared" si="5"/>
        <v>10.45255543</v>
      </c>
      <c r="N23" s="26">
        <v>225235.1016845703</v>
      </c>
      <c r="O23" s="31">
        <f t="shared" si="6"/>
        <v>48.49293137</v>
      </c>
      <c r="P23" s="26">
        <v>302626.3106689453</v>
      </c>
      <c r="Q23" s="31">
        <f t="shared" si="7"/>
        <v>65.15519474</v>
      </c>
      <c r="R23" s="26">
        <v>50827.816162109375</v>
      </c>
      <c r="S23" s="31">
        <f t="shared" si="8"/>
        <v>10.94318684</v>
      </c>
      <c r="T23" s="41"/>
      <c r="U23" s="41"/>
      <c r="V23" s="41"/>
      <c r="W23" s="41"/>
    </row>
    <row r="24" ht="15.75" customHeight="1">
      <c r="A24" s="25" t="s">
        <v>63</v>
      </c>
      <c r="B24" s="26">
        <f>'Estimated Totals'!D22</f>
        <v>3705981</v>
      </c>
      <c r="C24" s="26">
        <v>679998.0</v>
      </c>
      <c r="D24" s="31">
        <f t="shared" si="1"/>
        <v>18.34866396</v>
      </c>
      <c r="E24" s="25">
        <v>489258.0</v>
      </c>
      <c r="F24" s="31">
        <f t="shared" si="2"/>
        <v>71.9499175</v>
      </c>
      <c r="G24" s="25">
        <v>197895.0</v>
      </c>
      <c r="H24" s="31">
        <f t="shared" si="3"/>
        <v>29.10229148</v>
      </c>
      <c r="I24" s="25">
        <v>78453.0</v>
      </c>
      <c r="J24" s="31">
        <f t="shared" si="4"/>
        <v>11.53723982</v>
      </c>
      <c r="K24" s="26">
        <v>3636166.9763793945</v>
      </c>
      <c r="L24" s="26">
        <v>499051.9953613281</v>
      </c>
      <c r="M24" s="31">
        <f t="shared" si="5"/>
        <v>13.72467212</v>
      </c>
      <c r="N24" s="26">
        <v>280108.0856933594</v>
      </c>
      <c r="O24" s="31">
        <f t="shared" si="6"/>
        <v>56.12803642</v>
      </c>
      <c r="P24" s="26">
        <v>288833.646484375</v>
      </c>
      <c r="Q24" s="31">
        <f t="shared" si="7"/>
        <v>57.87646361</v>
      </c>
      <c r="R24" s="26">
        <v>60153.04528808594</v>
      </c>
      <c r="S24" s="31">
        <f t="shared" si="8"/>
        <v>12.05346253</v>
      </c>
      <c r="T24" s="41"/>
      <c r="U24" s="41"/>
      <c r="V24" s="41"/>
      <c r="W24" s="41"/>
    </row>
    <row r="25" ht="15.75" customHeight="1">
      <c r="A25" s="25" t="s">
        <v>64</v>
      </c>
      <c r="B25" s="26">
        <f>'Estimated Totals'!D23</f>
        <v>2050203</v>
      </c>
      <c r="C25" s="26">
        <v>210715.0</v>
      </c>
      <c r="D25" s="31">
        <f t="shared" si="1"/>
        <v>10.27776274</v>
      </c>
      <c r="E25" s="25">
        <v>120092.0</v>
      </c>
      <c r="F25" s="31">
        <f t="shared" si="2"/>
        <v>56.99262036</v>
      </c>
      <c r="G25" s="25">
        <v>81897.0</v>
      </c>
      <c r="H25" s="31">
        <f t="shared" si="3"/>
        <v>38.86624113</v>
      </c>
      <c r="I25" s="25">
        <v>55257.0</v>
      </c>
      <c r="J25" s="31">
        <f t="shared" si="4"/>
        <v>26.22357212</v>
      </c>
      <c r="K25" s="26">
        <v>2220906.9967651367</v>
      </c>
      <c r="L25" s="26">
        <v>282953.51724243164</v>
      </c>
      <c r="M25" s="31">
        <f t="shared" si="5"/>
        <v>12.74044873</v>
      </c>
      <c r="N25" s="26">
        <v>151683.57870483398</v>
      </c>
      <c r="O25" s="31">
        <f t="shared" si="6"/>
        <v>53.6072427</v>
      </c>
      <c r="P25" s="26">
        <v>177260.18060302734</v>
      </c>
      <c r="Q25" s="31">
        <f t="shared" si="7"/>
        <v>62.64639589</v>
      </c>
      <c r="R25" s="26">
        <v>45010.37744140625</v>
      </c>
      <c r="S25" s="31">
        <f t="shared" si="8"/>
        <v>15.90733979</v>
      </c>
      <c r="T25" s="41"/>
      <c r="U25" s="41"/>
      <c r="V25" s="41"/>
      <c r="W25" s="41"/>
    </row>
    <row r="26" ht="15.75" customHeight="1">
      <c r="A26" s="25" t="s">
        <v>65</v>
      </c>
      <c r="B26" s="26">
        <f>'Estimated Totals'!D24</f>
        <v>2943119</v>
      </c>
      <c r="C26" s="26">
        <v>101218.0</v>
      </c>
      <c r="D26" s="31">
        <f t="shared" si="1"/>
        <v>3.439140585</v>
      </c>
      <c r="E26" s="25">
        <v>18044.0</v>
      </c>
      <c r="F26" s="31">
        <f t="shared" si="2"/>
        <v>17.82686874</v>
      </c>
      <c r="G26" s="25">
        <v>51811.0</v>
      </c>
      <c r="H26" s="31">
        <f t="shared" si="3"/>
        <v>51.18753581</v>
      </c>
      <c r="I26" s="25">
        <v>38141.0</v>
      </c>
      <c r="J26" s="31">
        <f t="shared" si="4"/>
        <v>37.68203284</v>
      </c>
      <c r="K26" s="26">
        <v>3746617.9826660156</v>
      </c>
      <c r="L26" s="26">
        <v>209771.23864746094</v>
      </c>
      <c r="M26" s="31">
        <f t="shared" si="5"/>
        <v>5.598949229</v>
      </c>
      <c r="N26" s="26">
        <v>79110.20098876953</v>
      </c>
      <c r="O26" s="31">
        <f t="shared" si="6"/>
        <v>37.71260612</v>
      </c>
      <c r="P26" s="26">
        <v>162121.06805419922</v>
      </c>
      <c r="Q26" s="31">
        <f t="shared" si="7"/>
        <v>77.28469789</v>
      </c>
      <c r="R26" s="26">
        <v>16852.550170898438</v>
      </c>
      <c r="S26" s="31">
        <f t="shared" si="8"/>
        <v>8.033775402</v>
      </c>
      <c r="T26" s="41"/>
      <c r="U26" s="41"/>
      <c r="V26" s="41"/>
      <c r="W26" s="41"/>
    </row>
    <row r="27" ht="15.75" customHeight="1">
      <c r="A27" s="28"/>
      <c r="B27" s="28"/>
      <c r="C27" s="28"/>
      <c r="D27" s="28"/>
      <c r="E27" s="28"/>
      <c r="F27" s="28"/>
      <c r="G27" s="28"/>
      <c r="H27" s="28"/>
      <c r="I27" s="28"/>
      <c r="J27" s="28"/>
      <c r="K27" s="28"/>
      <c r="L27" s="28"/>
      <c r="M27" s="28"/>
      <c r="N27" s="28"/>
      <c r="O27" s="28"/>
      <c r="P27" s="28"/>
      <c r="Q27" s="28"/>
      <c r="R27" s="28"/>
      <c r="S27" s="28"/>
    </row>
    <row r="28" ht="15.75" customHeight="1">
      <c r="A28" s="9"/>
      <c r="B28" s="9"/>
      <c r="C28" s="9"/>
      <c r="D28" s="9"/>
      <c r="E28" s="9"/>
      <c r="F28" s="9"/>
      <c r="G28" s="9"/>
      <c r="H28" s="9"/>
      <c r="I28" s="9"/>
      <c r="J28" s="9"/>
      <c r="K28" s="9"/>
      <c r="L28" s="9"/>
      <c r="M28" s="9"/>
    </row>
    <row r="29" ht="15.75" customHeight="1">
      <c r="A29" s="29" t="s">
        <v>69</v>
      </c>
      <c r="B29" s="29"/>
      <c r="C29" s="29"/>
      <c r="D29" s="29"/>
      <c r="E29" s="29"/>
      <c r="F29" s="29"/>
      <c r="G29" s="29"/>
      <c r="H29" s="29"/>
      <c r="I29" s="29"/>
      <c r="J29" s="29"/>
      <c r="K29" s="29"/>
      <c r="L29" s="29"/>
      <c r="M29" s="29"/>
      <c r="N29" s="29"/>
      <c r="O29" s="29"/>
      <c r="P29" s="30"/>
      <c r="Q29" s="30"/>
      <c r="R29" s="30"/>
      <c r="S29" s="30"/>
    </row>
    <row r="30" ht="15.75" customHeight="1">
      <c r="A30" s="29" t="s">
        <v>72</v>
      </c>
      <c r="B30" s="29"/>
      <c r="C30" s="29"/>
      <c r="D30" s="29"/>
      <c r="E30" s="29"/>
      <c r="F30" s="29"/>
      <c r="G30" s="29"/>
      <c r="H30" s="29"/>
      <c r="I30" s="29"/>
      <c r="J30" s="29"/>
      <c r="K30" s="29"/>
      <c r="L30" s="29"/>
      <c r="M30" s="29"/>
      <c r="N30" s="29"/>
      <c r="O30" s="29"/>
      <c r="P30" s="30"/>
      <c r="Q30" s="30"/>
      <c r="R30" s="30"/>
      <c r="S30" s="30"/>
    </row>
    <row r="31" ht="15.75" customHeight="1">
      <c r="A31" s="29" t="s">
        <v>225</v>
      </c>
      <c r="B31" s="29"/>
      <c r="C31" s="29"/>
      <c r="D31" s="29"/>
      <c r="E31" s="29"/>
      <c r="F31" s="29"/>
      <c r="G31" s="29"/>
      <c r="H31" s="29"/>
      <c r="I31" s="29"/>
      <c r="J31" s="29"/>
      <c r="K31" s="29"/>
      <c r="L31" s="29"/>
      <c r="M31" s="29"/>
      <c r="N31" s="29"/>
      <c r="O31" s="29"/>
      <c r="P31" s="30"/>
      <c r="Q31" s="30"/>
      <c r="R31" s="30"/>
      <c r="S31" s="30"/>
    </row>
    <row r="32" ht="15.75" customHeight="1">
      <c r="A32" s="29" t="s">
        <v>226</v>
      </c>
      <c r="B32" s="29"/>
      <c r="C32" s="29"/>
      <c r="D32" s="29"/>
      <c r="E32" s="29"/>
      <c r="F32" s="29"/>
      <c r="G32" s="29"/>
      <c r="H32" s="29"/>
      <c r="I32" s="29"/>
      <c r="J32" s="29"/>
      <c r="K32" s="29"/>
      <c r="L32" s="29"/>
      <c r="M32" s="29"/>
      <c r="N32" s="29"/>
      <c r="O32" s="29"/>
      <c r="P32" s="30"/>
      <c r="Q32" s="30"/>
      <c r="R32" s="30"/>
      <c r="S32" s="30"/>
    </row>
    <row r="33" ht="15.75" customHeight="1">
      <c r="A33" s="32" t="s">
        <v>76</v>
      </c>
    </row>
    <row r="34" ht="15.75" customHeight="1">
      <c r="A34" s="32"/>
    </row>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7">
    <mergeCell ref="E5:J5"/>
    <mergeCell ref="N5:S5"/>
    <mergeCell ref="E6:F6"/>
    <mergeCell ref="G6:H6"/>
    <mergeCell ref="L5:M6"/>
    <mergeCell ref="N6:O6"/>
    <mergeCell ref="P6:Q6"/>
    <mergeCell ref="R6:S6"/>
    <mergeCell ref="A33:S33"/>
    <mergeCell ref="A34:S34"/>
    <mergeCell ref="A4:A7"/>
    <mergeCell ref="B4:J4"/>
    <mergeCell ref="K4:S4"/>
    <mergeCell ref="B5:B7"/>
    <mergeCell ref="C5:D6"/>
    <mergeCell ref="K5:K7"/>
    <mergeCell ref="I6:J6"/>
  </mergeCells>
  <hyperlinks>
    <hyperlink display="BACK TO LIST" location="LIST!A1" ref="A1"/>
  </hyperlinks>
  <printOptions/>
  <pageMargins bottom="0.75" footer="0.0" header="0.0" left="0.7" right="0.7" top="0.75"/>
  <pageSetup paperSize="9" orientation="portrait"/>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9"/>
    <pageSetUpPr/>
  </sheetPr>
  <sheetViews>
    <sheetView workbookViewId="0"/>
  </sheetViews>
  <sheetFormatPr customHeight="1" defaultColWidth="12.63" defaultRowHeight="15.0"/>
  <cols>
    <col customWidth="1" min="1" max="1" width="39.0"/>
    <col customWidth="1" min="2" max="3" width="14.0"/>
    <col customWidth="1" min="4" max="4" width="15.0"/>
    <col customWidth="1" min="5" max="5" width="14.0"/>
    <col customWidth="1" min="6" max="6" width="15.0"/>
    <col customWidth="1" min="7" max="7" width="14.0"/>
    <col customWidth="1" min="8" max="8" width="15.0"/>
    <col customWidth="1" min="9" max="9" width="14.0"/>
    <col customWidth="1" min="10" max="10" width="15.0"/>
    <col customWidth="1" min="11" max="11" width="14.0"/>
    <col customWidth="1" min="12" max="12" width="15.0"/>
    <col customWidth="1" min="13" max="13" width="14.0"/>
    <col customWidth="1" min="14" max="14" width="15.0"/>
    <col customWidth="1" min="15" max="15" width="14.0"/>
    <col customWidth="1" min="16" max="16" width="15.0"/>
    <col customWidth="1" min="17" max="17" width="14.0"/>
    <col customWidth="1" min="18" max="18" width="15.0"/>
    <col customWidth="1" min="19" max="19" width="14.0"/>
    <col customWidth="1" min="20" max="20" width="15.0"/>
    <col customWidth="1" min="21" max="21" width="14.0"/>
    <col customWidth="1" min="22" max="22" width="15.0"/>
    <col customWidth="1" min="23" max="23" width="14.0"/>
    <col customWidth="1" min="24" max="24" width="15.0"/>
    <col customWidth="1" min="25" max="25" width="14.0"/>
    <col customWidth="1" min="26" max="26" width="15.0"/>
    <col customWidth="1" min="27" max="27" width="14.0"/>
    <col customWidth="1" min="28" max="28" width="15.0"/>
    <col customWidth="1" min="29" max="29" width="14.0"/>
    <col customWidth="1" min="30" max="30" width="15.0"/>
    <col customWidth="1" min="31" max="31" width="14.0"/>
    <col customWidth="1" min="32" max="32" width="15.0"/>
    <col customWidth="1" min="33" max="33" width="14.0"/>
    <col customWidth="1" min="34" max="34" width="15.0"/>
  </cols>
  <sheetData>
    <row r="1">
      <c r="A1" s="5" t="s">
        <v>1</v>
      </c>
    </row>
    <row r="2">
      <c r="A2" s="51" t="s">
        <v>208</v>
      </c>
    </row>
    <row r="3">
      <c r="A3" s="8"/>
      <c r="B3" s="9"/>
      <c r="C3" s="9"/>
      <c r="D3" s="9"/>
      <c r="E3" s="9"/>
      <c r="F3" s="9"/>
      <c r="G3" s="9"/>
      <c r="H3" s="9"/>
      <c r="I3" s="9"/>
      <c r="J3" s="9"/>
      <c r="K3" s="9"/>
      <c r="L3" s="9"/>
      <c r="M3" s="9"/>
      <c r="N3" s="9"/>
      <c r="O3" s="9"/>
      <c r="P3" s="9"/>
      <c r="Q3" s="9"/>
      <c r="R3" s="9"/>
      <c r="S3" s="9"/>
      <c r="T3" s="9"/>
      <c r="U3" s="9"/>
      <c r="V3" s="9"/>
      <c r="W3" s="9"/>
      <c r="X3" s="9"/>
    </row>
    <row r="4">
      <c r="A4" s="10" t="s">
        <v>13</v>
      </c>
      <c r="B4" s="42">
        <v>2019.0</v>
      </c>
      <c r="C4" s="14"/>
      <c r="D4" s="14"/>
      <c r="E4" s="14"/>
      <c r="F4" s="14"/>
      <c r="G4" s="14"/>
      <c r="H4" s="14"/>
      <c r="I4" s="14"/>
      <c r="J4" s="14"/>
      <c r="K4" s="14"/>
      <c r="L4" s="14"/>
      <c r="M4" s="14"/>
      <c r="N4" s="14"/>
      <c r="O4" s="14"/>
      <c r="P4" s="14"/>
      <c r="Q4" s="14"/>
      <c r="R4" s="14"/>
      <c r="S4" s="14"/>
      <c r="T4" s="14"/>
      <c r="U4" s="14"/>
      <c r="V4" s="14"/>
      <c r="W4" s="14"/>
      <c r="X4" s="14"/>
      <c r="Y4" s="14"/>
      <c r="Z4" s="14"/>
      <c r="AA4" s="14"/>
      <c r="AB4" s="14"/>
      <c r="AC4" s="14"/>
      <c r="AD4" s="14"/>
      <c r="AE4" s="14"/>
      <c r="AF4" s="14"/>
      <c r="AG4" s="14"/>
      <c r="AH4" s="15"/>
    </row>
    <row r="5">
      <c r="A5" s="17"/>
      <c r="B5" s="21" t="s">
        <v>194</v>
      </c>
      <c r="C5" s="42" t="s">
        <v>209</v>
      </c>
      <c r="D5" s="14"/>
      <c r="E5" s="14"/>
      <c r="F5" s="14"/>
      <c r="G5" s="14"/>
      <c r="H5" s="14"/>
      <c r="I5" s="14"/>
      <c r="J5" s="14"/>
      <c r="K5" s="14"/>
      <c r="L5" s="14"/>
      <c r="M5" s="14"/>
      <c r="N5" s="14"/>
      <c r="O5" s="14"/>
      <c r="P5" s="14"/>
      <c r="Q5" s="14"/>
      <c r="R5" s="14"/>
      <c r="S5" s="14"/>
      <c r="T5" s="14"/>
      <c r="U5" s="14"/>
      <c r="V5" s="14"/>
      <c r="W5" s="14"/>
      <c r="X5" s="14"/>
      <c r="Y5" s="14"/>
      <c r="Z5" s="14"/>
      <c r="AA5" s="14"/>
      <c r="AB5" s="14"/>
      <c r="AC5" s="14"/>
      <c r="AD5" s="14"/>
      <c r="AE5" s="14"/>
      <c r="AF5" s="14"/>
      <c r="AG5" s="14"/>
      <c r="AH5" s="15"/>
    </row>
    <row r="6" ht="75.0" customHeight="1">
      <c r="A6" s="17"/>
      <c r="B6" s="17"/>
      <c r="C6" s="13" t="s">
        <v>210</v>
      </c>
      <c r="D6" s="15"/>
      <c r="E6" s="13" t="s">
        <v>211</v>
      </c>
      <c r="F6" s="15"/>
      <c r="G6" s="13" t="s">
        <v>212</v>
      </c>
      <c r="H6" s="15"/>
      <c r="I6" s="13" t="s">
        <v>213</v>
      </c>
      <c r="J6" s="15"/>
      <c r="K6" s="13" t="s">
        <v>214</v>
      </c>
      <c r="L6" s="15"/>
      <c r="M6" s="13" t="s">
        <v>215</v>
      </c>
      <c r="N6" s="15"/>
      <c r="O6" s="13" t="s">
        <v>216</v>
      </c>
      <c r="P6" s="15"/>
      <c r="Q6" s="13" t="s">
        <v>217</v>
      </c>
      <c r="R6" s="15"/>
      <c r="S6" s="13" t="s">
        <v>218</v>
      </c>
      <c r="T6" s="15"/>
      <c r="U6" s="13" t="s">
        <v>219</v>
      </c>
      <c r="V6" s="15"/>
      <c r="W6" s="13" t="s">
        <v>220</v>
      </c>
      <c r="X6" s="15"/>
      <c r="Y6" s="13" t="s">
        <v>221</v>
      </c>
      <c r="Z6" s="15"/>
      <c r="AA6" s="13" t="s">
        <v>222</v>
      </c>
      <c r="AB6" s="15"/>
      <c r="AC6" s="13" t="s">
        <v>223</v>
      </c>
      <c r="AD6" s="15"/>
      <c r="AE6" s="13" t="s">
        <v>224</v>
      </c>
      <c r="AF6" s="15"/>
      <c r="AG6" s="13" t="s">
        <v>170</v>
      </c>
      <c r="AH6" s="15"/>
    </row>
    <row r="7">
      <c r="A7" s="18"/>
      <c r="B7" s="18"/>
      <c r="C7" s="24" t="s">
        <v>37</v>
      </c>
      <c r="D7" s="24" t="s">
        <v>39</v>
      </c>
      <c r="E7" s="24" t="s">
        <v>37</v>
      </c>
      <c r="F7" s="24" t="s">
        <v>39</v>
      </c>
      <c r="G7" s="24" t="s">
        <v>37</v>
      </c>
      <c r="H7" s="24" t="s">
        <v>39</v>
      </c>
      <c r="I7" s="24" t="s">
        <v>37</v>
      </c>
      <c r="J7" s="24" t="s">
        <v>39</v>
      </c>
      <c r="K7" s="24" t="s">
        <v>37</v>
      </c>
      <c r="L7" s="24" t="s">
        <v>39</v>
      </c>
      <c r="M7" s="24" t="s">
        <v>37</v>
      </c>
      <c r="N7" s="24" t="s">
        <v>39</v>
      </c>
      <c r="O7" s="24" t="s">
        <v>37</v>
      </c>
      <c r="P7" s="24" t="s">
        <v>39</v>
      </c>
      <c r="Q7" s="24" t="s">
        <v>37</v>
      </c>
      <c r="R7" s="24" t="s">
        <v>39</v>
      </c>
      <c r="S7" s="24" t="s">
        <v>37</v>
      </c>
      <c r="T7" s="24" t="s">
        <v>39</v>
      </c>
      <c r="U7" s="24" t="s">
        <v>37</v>
      </c>
      <c r="V7" s="24" t="s">
        <v>39</v>
      </c>
      <c r="W7" s="24" t="s">
        <v>37</v>
      </c>
      <c r="X7" s="24" t="s">
        <v>39</v>
      </c>
      <c r="Y7" s="24" t="s">
        <v>37</v>
      </c>
      <c r="Z7" s="24" t="s">
        <v>39</v>
      </c>
      <c r="AA7" s="24" t="s">
        <v>37</v>
      </c>
      <c r="AB7" s="24" t="s">
        <v>39</v>
      </c>
      <c r="AC7" s="24" t="s">
        <v>37</v>
      </c>
      <c r="AD7" s="24" t="s">
        <v>39</v>
      </c>
      <c r="AE7" s="24" t="s">
        <v>37</v>
      </c>
      <c r="AF7" s="24" t="s">
        <v>39</v>
      </c>
      <c r="AG7" s="24" t="s">
        <v>37</v>
      </c>
      <c r="AH7" s="24" t="s">
        <v>39</v>
      </c>
    </row>
    <row r="8">
      <c r="A8" s="16"/>
      <c r="B8" s="20"/>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row>
    <row r="9">
      <c r="A9" s="22" t="s">
        <v>33</v>
      </c>
      <c r="B9" s="23">
        <f>'i_C17-18'!C9</f>
        <v>15284052</v>
      </c>
      <c r="C9" s="23">
        <v>1.0545681E7</v>
      </c>
      <c r="D9" s="27">
        <f t="shared" ref="D9:D26" si="1">C9/$B9*100</f>
        <v>68.99793981</v>
      </c>
      <c r="E9" s="23">
        <v>9695003.0</v>
      </c>
      <c r="F9" s="27">
        <f t="shared" ref="F9:F26" si="2">E9/$B9*100</f>
        <v>63.43215137</v>
      </c>
      <c r="G9" s="23">
        <v>3376591.0</v>
      </c>
      <c r="H9" s="27">
        <f t="shared" ref="H9:H26" si="3">G9/$B9*100</f>
        <v>22.09225014</v>
      </c>
      <c r="I9" s="23">
        <v>3495847.0</v>
      </c>
      <c r="J9" s="27">
        <f t="shared" ref="J9:J26" si="4">I9/$B9*100</f>
        <v>22.87251444</v>
      </c>
      <c r="K9" s="23">
        <v>3052761.0</v>
      </c>
      <c r="L9" s="27">
        <f t="shared" ref="L9:L26" si="5">K9/$B9*100</f>
        <v>19.97350572</v>
      </c>
      <c r="M9" s="23">
        <v>3524228.0</v>
      </c>
      <c r="N9" s="27">
        <f t="shared" ref="N9:N26" si="6">M9/$B9*100</f>
        <v>23.05820472</v>
      </c>
      <c r="O9" s="23">
        <v>3488633.0</v>
      </c>
      <c r="P9" s="27">
        <f t="shared" ref="P9:P26" si="7">O9/$B9*100</f>
        <v>22.82531491</v>
      </c>
      <c r="Q9" s="23">
        <v>3290438.0</v>
      </c>
      <c r="R9" s="27">
        <f t="shared" ref="R9:R26" si="8">Q9/$B9*100</f>
        <v>21.52857109</v>
      </c>
      <c r="S9" s="23">
        <v>1485792.0</v>
      </c>
      <c r="T9" s="27">
        <f t="shared" ref="T9:T26" si="9">S9/$B9*100</f>
        <v>9.721191736</v>
      </c>
      <c r="U9" s="23">
        <v>691901.0</v>
      </c>
      <c r="V9" s="27">
        <f t="shared" ref="V9:V26" si="10">U9/$B9*100</f>
        <v>4.526947435</v>
      </c>
      <c r="W9" s="23">
        <v>973492.0</v>
      </c>
      <c r="X9" s="27">
        <f t="shared" ref="X9:X26" si="11">W9/$B9*100</f>
        <v>6.369331902</v>
      </c>
      <c r="Y9" s="23">
        <v>2722971.0</v>
      </c>
      <c r="Z9" s="27">
        <f t="shared" ref="Z9:Z26" si="12">Y9/$B9*100</f>
        <v>17.81576639</v>
      </c>
      <c r="AA9" s="23">
        <v>1237849.0</v>
      </c>
      <c r="AB9" s="27">
        <f t="shared" ref="AB9:AB26" si="13">AA9/$B9*100</f>
        <v>8.098958313</v>
      </c>
      <c r="AC9" s="23">
        <v>659812.0</v>
      </c>
      <c r="AD9" s="27">
        <f t="shared" ref="AD9:AD26" si="14">AC9/$B9*100</f>
        <v>4.316996566</v>
      </c>
      <c r="AE9" s="23">
        <v>26058.0</v>
      </c>
      <c r="AF9" s="27">
        <f t="shared" ref="AF9:AF26" si="15">AE9/$B9*100</f>
        <v>0.1704914377</v>
      </c>
      <c r="AG9" s="23">
        <v>33974.0</v>
      </c>
      <c r="AH9" s="27">
        <f t="shared" ref="AH9:AH26" si="16">AG9/$B9*100</f>
        <v>0.2222839859</v>
      </c>
    </row>
    <row r="10">
      <c r="A10" s="25" t="s">
        <v>38</v>
      </c>
      <c r="B10" s="26">
        <f>'i_C17-18'!C10</f>
        <v>3374600</v>
      </c>
      <c r="C10" s="26">
        <v>2598891.0</v>
      </c>
      <c r="D10" s="31">
        <f t="shared" si="1"/>
        <v>77.01330528</v>
      </c>
      <c r="E10" s="26">
        <v>2428605.0</v>
      </c>
      <c r="F10" s="31">
        <f t="shared" si="2"/>
        <v>71.96719611</v>
      </c>
      <c r="G10" s="26">
        <v>805310.0</v>
      </c>
      <c r="H10" s="31">
        <f t="shared" si="3"/>
        <v>23.86386535</v>
      </c>
      <c r="I10" s="26">
        <v>734384.0</v>
      </c>
      <c r="J10" s="31">
        <f t="shared" si="4"/>
        <v>21.76210514</v>
      </c>
      <c r="K10" s="26">
        <v>600474.0</v>
      </c>
      <c r="L10" s="31">
        <f t="shared" si="5"/>
        <v>17.79393113</v>
      </c>
      <c r="M10" s="26">
        <v>839946.0</v>
      </c>
      <c r="N10" s="31">
        <f t="shared" si="6"/>
        <v>24.89023884</v>
      </c>
      <c r="O10" s="26">
        <v>960059.0</v>
      </c>
      <c r="P10" s="31">
        <f t="shared" si="7"/>
        <v>28.44956439</v>
      </c>
      <c r="Q10" s="26">
        <v>242281.0</v>
      </c>
      <c r="R10" s="31">
        <f t="shared" si="8"/>
        <v>7.179547206</v>
      </c>
      <c r="S10" s="26">
        <v>196596.0</v>
      </c>
      <c r="T10" s="31">
        <f t="shared" si="9"/>
        <v>5.825757127</v>
      </c>
      <c r="U10" s="26">
        <v>117653.0</v>
      </c>
      <c r="V10" s="31">
        <f t="shared" si="10"/>
        <v>3.486428021</v>
      </c>
      <c r="W10" s="26">
        <v>99394.0</v>
      </c>
      <c r="X10" s="31">
        <f t="shared" si="11"/>
        <v>2.945356487</v>
      </c>
      <c r="Y10" s="26">
        <v>355004.0</v>
      </c>
      <c r="Z10" s="31">
        <f t="shared" si="12"/>
        <v>10.51988384</v>
      </c>
      <c r="AA10" s="26">
        <v>183429.0</v>
      </c>
      <c r="AB10" s="31">
        <f t="shared" si="13"/>
        <v>5.43557755</v>
      </c>
      <c r="AC10" s="26">
        <v>90483.0</v>
      </c>
      <c r="AD10" s="31">
        <f t="shared" si="14"/>
        <v>2.681295561</v>
      </c>
      <c r="AE10" s="26">
        <v>26058.0</v>
      </c>
      <c r="AF10" s="31">
        <f t="shared" si="15"/>
        <v>0.7721804066</v>
      </c>
      <c r="AG10" s="26">
        <v>33974.0</v>
      </c>
      <c r="AH10" s="31">
        <f t="shared" si="16"/>
        <v>1.006756356</v>
      </c>
    </row>
    <row r="11">
      <c r="A11" s="25" t="s">
        <v>41</v>
      </c>
      <c r="B11" s="26">
        <f>'i_C17-18'!C11</f>
        <v>217204</v>
      </c>
      <c r="C11" s="26">
        <v>103570.0</v>
      </c>
      <c r="D11" s="31">
        <f t="shared" si="1"/>
        <v>47.68328392</v>
      </c>
      <c r="E11" s="26">
        <v>105870.0</v>
      </c>
      <c r="F11" s="31">
        <f t="shared" si="2"/>
        <v>48.74219628</v>
      </c>
      <c r="G11" s="26">
        <v>18835.0</v>
      </c>
      <c r="H11" s="31">
        <f t="shared" si="3"/>
        <v>8.671571426</v>
      </c>
      <c r="I11" s="26">
        <v>40124.0</v>
      </c>
      <c r="J11" s="31">
        <f t="shared" si="4"/>
        <v>18.4729563</v>
      </c>
      <c r="K11" s="26">
        <v>28765.0</v>
      </c>
      <c r="L11" s="31">
        <f t="shared" si="5"/>
        <v>13.24331044</v>
      </c>
      <c r="M11" s="26">
        <v>19783.0</v>
      </c>
      <c r="N11" s="31">
        <f t="shared" si="6"/>
        <v>9.108027476</v>
      </c>
      <c r="O11" s="26">
        <v>13271.0</v>
      </c>
      <c r="P11" s="31">
        <f t="shared" si="7"/>
        <v>6.109924311</v>
      </c>
      <c r="Q11" s="26">
        <v>108898.0</v>
      </c>
      <c r="R11" s="31">
        <f t="shared" si="8"/>
        <v>50.13627742</v>
      </c>
      <c r="S11" s="26">
        <v>17171.0</v>
      </c>
      <c r="T11" s="31">
        <f t="shared" si="9"/>
        <v>7.905471354</v>
      </c>
      <c r="U11" s="26">
        <v>5897.0</v>
      </c>
      <c r="V11" s="31">
        <f t="shared" si="10"/>
        <v>2.714959209</v>
      </c>
      <c r="W11" s="26">
        <v>1475.0</v>
      </c>
      <c r="X11" s="31">
        <f t="shared" si="11"/>
        <v>0.6790850997</v>
      </c>
      <c r="Y11" s="26">
        <v>41075.0</v>
      </c>
      <c r="Z11" s="31">
        <f t="shared" si="12"/>
        <v>18.91079354</v>
      </c>
      <c r="AA11" s="26">
        <v>10829.0</v>
      </c>
      <c r="AB11" s="31">
        <f t="shared" si="13"/>
        <v>4.985635624</v>
      </c>
      <c r="AC11" s="26">
        <v>2490.0</v>
      </c>
      <c r="AD11" s="31">
        <f t="shared" si="14"/>
        <v>1.146387728</v>
      </c>
      <c r="AE11" s="26">
        <v>650.0</v>
      </c>
      <c r="AF11" s="31">
        <f t="shared" si="15"/>
        <v>0.2992578406</v>
      </c>
      <c r="AG11" s="26">
        <v>3898.0</v>
      </c>
      <c r="AH11" s="31">
        <f t="shared" si="16"/>
        <v>1.79462625</v>
      </c>
    </row>
    <row r="12">
      <c r="A12" s="25" t="s">
        <v>43</v>
      </c>
      <c r="B12" s="26">
        <f>'i_C17-18'!C12</f>
        <v>609906</v>
      </c>
      <c r="C12" s="26">
        <v>403348.0</v>
      </c>
      <c r="D12" s="31">
        <f t="shared" si="1"/>
        <v>66.13281391</v>
      </c>
      <c r="E12" s="26">
        <v>383928.0</v>
      </c>
      <c r="F12" s="31">
        <f t="shared" si="2"/>
        <v>62.94871669</v>
      </c>
      <c r="G12" s="26">
        <v>136720.0</v>
      </c>
      <c r="H12" s="31">
        <f t="shared" si="3"/>
        <v>22.41656911</v>
      </c>
      <c r="I12" s="26">
        <v>117823.0</v>
      </c>
      <c r="J12" s="31">
        <f t="shared" si="4"/>
        <v>19.31822281</v>
      </c>
      <c r="K12" s="26">
        <v>134230.0</v>
      </c>
      <c r="L12" s="31">
        <f t="shared" si="5"/>
        <v>22.00830948</v>
      </c>
      <c r="M12" s="26">
        <v>219098.0</v>
      </c>
      <c r="N12" s="31">
        <f t="shared" si="6"/>
        <v>35.92324063</v>
      </c>
      <c r="O12" s="26">
        <v>199100.0</v>
      </c>
      <c r="P12" s="31">
        <f t="shared" si="7"/>
        <v>32.64437471</v>
      </c>
      <c r="Q12" s="26">
        <v>239854.0</v>
      </c>
      <c r="R12" s="31">
        <f t="shared" si="8"/>
        <v>39.326388</v>
      </c>
      <c r="S12" s="26">
        <v>84277.0</v>
      </c>
      <c r="T12" s="31">
        <f t="shared" si="9"/>
        <v>13.81803098</v>
      </c>
      <c r="U12" s="26">
        <v>12159.0</v>
      </c>
      <c r="V12" s="31">
        <f t="shared" si="10"/>
        <v>1.993585897</v>
      </c>
      <c r="W12" s="26">
        <v>29449.0</v>
      </c>
      <c r="X12" s="31">
        <f t="shared" si="11"/>
        <v>4.828448974</v>
      </c>
      <c r="Y12" s="26">
        <v>52594.0</v>
      </c>
      <c r="Z12" s="31">
        <f t="shared" si="12"/>
        <v>8.623296049</v>
      </c>
      <c r="AA12" s="26">
        <v>31229.0</v>
      </c>
      <c r="AB12" s="31">
        <f t="shared" si="13"/>
        <v>5.120297226</v>
      </c>
      <c r="AC12" s="26">
        <v>21084.0</v>
      </c>
      <c r="AD12" s="31">
        <f t="shared" si="14"/>
        <v>3.456926149</v>
      </c>
      <c r="AE12" s="26">
        <v>6200.0</v>
      </c>
      <c r="AF12" s="31">
        <f t="shared" si="15"/>
        <v>1.016550091</v>
      </c>
      <c r="AG12" s="26">
        <v>1432.0</v>
      </c>
      <c r="AH12" s="31">
        <f t="shared" si="16"/>
        <v>0.2347902792</v>
      </c>
    </row>
    <row r="13">
      <c r="A13" s="25" t="s">
        <v>44</v>
      </c>
      <c r="B13" s="26">
        <f>'i_C17-18'!C13</f>
        <v>440791</v>
      </c>
      <c r="C13" s="26">
        <v>183592.0</v>
      </c>
      <c r="D13" s="31">
        <f t="shared" si="1"/>
        <v>41.65057817</v>
      </c>
      <c r="E13" s="26">
        <v>174930.0</v>
      </c>
      <c r="F13" s="31">
        <f t="shared" si="2"/>
        <v>39.68547452</v>
      </c>
      <c r="G13" s="26">
        <v>59974.0</v>
      </c>
      <c r="H13" s="31">
        <f t="shared" si="3"/>
        <v>13.60599468</v>
      </c>
      <c r="I13" s="26">
        <v>130463.0</v>
      </c>
      <c r="J13" s="31">
        <f t="shared" si="4"/>
        <v>29.59747363</v>
      </c>
      <c r="K13" s="26">
        <v>94766.0</v>
      </c>
      <c r="L13" s="31">
        <f t="shared" si="5"/>
        <v>21.49907779</v>
      </c>
      <c r="M13" s="26">
        <v>66346.0</v>
      </c>
      <c r="N13" s="31">
        <f t="shared" si="6"/>
        <v>15.05157773</v>
      </c>
      <c r="O13" s="26">
        <v>40911.0</v>
      </c>
      <c r="P13" s="31">
        <f t="shared" si="7"/>
        <v>9.281269354</v>
      </c>
      <c r="Q13" s="26">
        <v>162716.0</v>
      </c>
      <c r="R13" s="31">
        <f t="shared" si="8"/>
        <v>36.9145468</v>
      </c>
      <c r="S13" s="26">
        <v>34502.0</v>
      </c>
      <c r="T13" s="31">
        <f t="shared" si="9"/>
        <v>7.8272923</v>
      </c>
      <c r="U13" s="26">
        <v>21128.0</v>
      </c>
      <c r="V13" s="31">
        <f t="shared" si="10"/>
        <v>4.793201313</v>
      </c>
      <c r="W13" s="26">
        <v>9951.0</v>
      </c>
      <c r="X13" s="31">
        <f t="shared" si="11"/>
        <v>2.257532481</v>
      </c>
      <c r="Y13" s="26">
        <v>36624.0</v>
      </c>
      <c r="Z13" s="31">
        <f t="shared" si="12"/>
        <v>8.308699588</v>
      </c>
      <c r="AA13" s="26">
        <v>18487.0</v>
      </c>
      <c r="AB13" s="31">
        <f t="shared" si="13"/>
        <v>4.194051149</v>
      </c>
      <c r="AC13" s="26">
        <v>14776.0</v>
      </c>
      <c r="AD13" s="31">
        <f t="shared" si="14"/>
        <v>3.352155557</v>
      </c>
      <c r="AE13" s="26">
        <v>782.0</v>
      </c>
      <c r="AF13" s="31">
        <f t="shared" si="15"/>
        <v>0.1774083409</v>
      </c>
      <c r="AG13" s="26">
        <v>1749.0</v>
      </c>
      <c r="AH13" s="31">
        <f t="shared" si="16"/>
        <v>0.3967866858</v>
      </c>
    </row>
    <row r="14">
      <c r="A14" s="25" t="s">
        <v>46</v>
      </c>
      <c r="B14" s="26">
        <f>'i_C17-18'!C14</f>
        <v>1649861</v>
      </c>
      <c r="C14" s="26">
        <v>1260260.0</v>
      </c>
      <c r="D14" s="31">
        <f t="shared" si="1"/>
        <v>76.38582887</v>
      </c>
      <c r="E14" s="26">
        <v>1149982.0</v>
      </c>
      <c r="F14" s="31">
        <f t="shared" si="2"/>
        <v>69.70175063</v>
      </c>
      <c r="G14" s="26">
        <v>643826.0</v>
      </c>
      <c r="H14" s="31">
        <f t="shared" si="3"/>
        <v>39.02304497</v>
      </c>
      <c r="I14" s="26">
        <v>320858.0</v>
      </c>
      <c r="J14" s="31">
        <f t="shared" si="4"/>
        <v>19.44757771</v>
      </c>
      <c r="K14" s="26">
        <v>310563.0</v>
      </c>
      <c r="L14" s="31">
        <f t="shared" si="5"/>
        <v>18.82358574</v>
      </c>
      <c r="M14" s="26">
        <v>318499.0</v>
      </c>
      <c r="N14" s="31">
        <f t="shared" si="6"/>
        <v>19.30459596</v>
      </c>
      <c r="O14" s="26">
        <v>323721.0</v>
      </c>
      <c r="P14" s="31">
        <f t="shared" si="7"/>
        <v>19.62110748</v>
      </c>
      <c r="Q14" s="26">
        <v>376537.0</v>
      </c>
      <c r="R14" s="31">
        <f t="shared" si="8"/>
        <v>22.82234685</v>
      </c>
      <c r="S14" s="26">
        <v>154600.0</v>
      </c>
      <c r="T14" s="31">
        <f t="shared" si="9"/>
        <v>9.370486362</v>
      </c>
      <c r="U14" s="26">
        <v>59742.0</v>
      </c>
      <c r="V14" s="31">
        <f t="shared" si="10"/>
        <v>3.621032317</v>
      </c>
      <c r="W14" s="26">
        <v>97166.0</v>
      </c>
      <c r="X14" s="31">
        <f t="shared" si="11"/>
        <v>5.889344618</v>
      </c>
      <c r="Y14" s="26">
        <v>245987.0</v>
      </c>
      <c r="Z14" s="31">
        <f t="shared" si="12"/>
        <v>14.90955905</v>
      </c>
      <c r="AA14" s="26">
        <v>122038.0</v>
      </c>
      <c r="AB14" s="31">
        <f t="shared" si="13"/>
        <v>7.396865554</v>
      </c>
      <c r="AC14" s="26">
        <v>126469.0</v>
      </c>
      <c r="AD14" s="31">
        <f t="shared" si="14"/>
        <v>7.665433634</v>
      </c>
      <c r="AE14" s="26">
        <v>15813.0</v>
      </c>
      <c r="AF14" s="31">
        <f t="shared" si="15"/>
        <v>0.958444378</v>
      </c>
      <c r="AG14" s="26">
        <v>15419.0</v>
      </c>
      <c r="AH14" s="31">
        <f t="shared" si="16"/>
        <v>0.9345635784</v>
      </c>
    </row>
    <row r="15">
      <c r="A15" s="25" t="s">
        <v>48</v>
      </c>
      <c r="B15" s="26">
        <f>'i_C17-18'!C15</f>
        <v>3620392</v>
      </c>
      <c r="C15" s="26">
        <v>2620223.0</v>
      </c>
      <c r="D15" s="31">
        <f t="shared" si="1"/>
        <v>72.37401364</v>
      </c>
      <c r="E15" s="26">
        <v>2252776.0</v>
      </c>
      <c r="F15" s="31">
        <f t="shared" si="2"/>
        <v>62.22464308</v>
      </c>
      <c r="G15" s="26">
        <v>790133.0</v>
      </c>
      <c r="H15" s="31">
        <f t="shared" si="3"/>
        <v>21.82451514</v>
      </c>
      <c r="I15" s="26">
        <v>947194.0</v>
      </c>
      <c r="J15" s="31">
        <f t="shared" si="4"/>
        <v>26.16274702</v>
      </c>
      <c r="K15" s="26">
        <v>861027.0</v>
      </c>
      <c r="L15" s="31">
        <f t="shared" si="5"/>
        <v>23.78270088</v>
      </c>
      <c r="M15" s="26">
        <v>1043659.0</v>
      </c>
      <c r="N15" s="31">
        <f t="shared" si="6"/>
        <v>28.82723749</v>
      </c>
      <c r="O15" s="26">
        <v>887292.0</v>
      </c>
      <c r="P15" s="31">
        <f t="shared" si="7"/>
        <v>24.50817481</v>
      </c>
      <c r="Q15" s="26">
        <v>618053.0</v>
      </c>
      <c r="R15" s="31">
        <f t="shared" si="8"/>
        <v>17.07143867</v>
      </c>
      <c r="S15" s="26">
        <v>576553.0</v>
      </c>
      <c r="T15" s="31">
        <f t="shared" si="9"/>
        <v>15.92515396</v>
      </c>
      <c r="U15" s="26">
        <v>276595.0</v>
      </c>
      <c r="V15" s="31">
        <f t="shared" si="10"/>
        <v>7.63991855</v>
      </c>
      <c r="W15" s="26">
        <v>378231.0</v>
      </c>
      <c r="X15" s="31">
        <f t="shared" si="11"/>
        <v>10.44723886</v>
      </c>
      <c r="Y15" s="26">
        <v>1032278.0</v>
      </c>
      <c r="Z15" s="31">
        <f t="shared" si="12"/>
        <v>28.51287927</v>
      </c>
      <c r="AA15" s="26">
        <v>563361.0</v>
      </c>
      <c r="AB15" s="31">
        <f t="shared" si="13"/>
        <v>15.56077353</v>
      </c>
      <c r="AC15" s="26">
        <v>268881.0</v>
      </c>
      <c r="AD15" s="31">
        <f t="shared" si="14"/>
        <v>7.4268477</v>
      </c>
      <c r="AE15" s="26">
        <v>265131.0</v>
      </c>
      <c r="AF15" s="31">
        <f t="shared" si="15"/>
        <v>7.323267757</v>
      </c>
      <c r="AG15" s="26">
        <v>125789.0</v>
      </c>
      <c r="AH15" s="31">
        <f t="shared" si="16"/>
        <v>3.474458014</v>
      </c>
    </row>
    <row r="16">
      <c r="A16" s="25" t="s">
        <v>50</v>
      </c>
      <c r="B16" s="26">
        <f>'i_C17-18'!C16</f>
        <v>343371</v>
      </c>
      <c r="C16" s="26">
        <v>169616.0</v>
      </c>
      <c r="D16" s="31">
        <f t="shared" si="1"/>
        <v>49.39729913</v>
      </c>
      <c r="E16" s="26">
        <v>162061.0</v>
      </c>
      <c r="F16" s="31">
        <f t="shared" si="2"/>
        <v>47.19705508</v>
      </c>
      <c r="G16" s="26">
        <v>111732.0</v>
      </c>
      <c r="H16" s="31">
        <f t="shared" si="3"/>
        <v>32.53973108</v>
      </c>
      <c r="I16" s="26">
        <v>118203.0</v>
      </c>
      <c r="J16" s="31">
        <f t="shared" si="4"/>
        <v>34.42428161</v>
      </c>
      <c r="K16" s="26">
        <v>111150.0</v>
      </c>
      <c r="L16" s="31">
        <f t="shared" si="5"/>
        <v>32.37023511</v>
      </c>
      <c r="M16" s="26">
        <v>61656.0</v>
      </c>
      <c r="N16" s="31">
        <f t="shared" si="6"/>
        <v>17.95608831</v>
      </c>
      <c r="O16" s="26">
        <v>65145.0</v>
      </c>
      <c r="P16" s="31">
        <f t="shared" si="7"/>
        <v>18.97219043</v>
      </c>
      <c r="Q16" s="26">
        <v>111470.0</v>
      </c>
      <c r="R16" s="31">
        <f t="shared" si="8"/>
        <v>32.46342877</v>
      </c>
      <c r="S16" s="26">
        <v>62959.0</v>
      </c>
      <c r="T16" s="31">
        <f t="shared" si="9"/>
        <v>18.33556124</v>
      </c>
      <c r="U16" s="26">
        <v>39711.0</v>
      </c>
      <c r="V16" s="31">
        <f t="shared" si="10"/>
        <v>11.56504189</v>
      </c>
      <c r="W16" s="26">
        <v>39911.0</v>
      </c>
      <c r="X16" s="31">
        <f t="shared" si="11"/>
        <v>11.62328793</v>
      </c>
      <c r="Y16" s="26">
        <v>96789.0</v>
      </c>
      <c r="Z16" s="31">
        <f t="shared" si="12"/>
        <v>28.18787842</v>
      </c>
      <c r="AA16" s="26">
        <v>42274.0</v>
      </c>
      <c r="AB16" s="31">
        <f t="shared" si="13"/>
        <v>12.31146486</v>
      </c>
      <c r="AC16" s="26">
        <v>13546.0</v>
      </c>
      <c r="AD16" s="31">
        <f t="shared" si="14"/>
        <v>3.945004092</v>
      </c>
      <c r="AE16" s="26">
        <v>917.0</v>
      </c>
      <c r="AF16" s="31">
        <f t="shared" si="15"/>
        <v>0.26705808</v>
      </c>
      <c r="AG16" s="26">
        <v>13166.0</v>
      </c>
      <c r="AH16" s="31">
        <f t="shared" si="16"/>
        <v>3.834336621</v>
      </c>
    </row>
    <row r="17">
      <c r="A17" s="25" t="s">
        <v>51</v>
      </c>
      <c r="B17" s="26">
        <f>'i_C17-18'!C17</f>
        <v>745745</v>
      </c>
      <c r="C17" s="26">
        <v>471907.0</v>
      </c>
      <c r="D17" s="31">
        <f t="shared" si="1"/>
        <v>63.27994153</v>
      </c>
      <c r="E17" s="26">
        <v>424227.0</v>
      </c>
      <c r="F17" s="31">
        <f t="shared" si="2"/>
        <v>56.88633514</v>
      </c>
      <c r="G17" s="26">
        <v>132354.0</v>
      </c>
      <c r="H17" s="31">
        <f t="shared" si="3"/>
        <v>17.74788969</v>
      </c>
      <c r="I17" s="26">
        <v>64160.0</v>
      </c>
      <c r="J17" s="31">
        <f t="shared" si="4"/>
        <v>8.60347706</v>
      </c>
      <c r="K17" s="26">
        <v>118822.0</v>
      </c>
      <c r="L17" s="31">
        <f t="shared" si="5"/>
        <v>15.93332842</v>
      </c>
      <c r="M17" s="26">
        <v>115894.0</v>
      </c>
      <c r="N17" s="31">
        <f t="shared" si="6"/>
        <v>15.54070091</v>
      </c>
      <c r="O17" s="26">
        <v>95402.0</v>
      </c>
      <c r="P17" s="31">
        <f t="shared" si="7"/>
        <v>12.79284474</v>
      </c>
      <c r="Q17" s="26">
        <v>290004.0</v>
      </c>
      <c r="R17" s="31">
        <f t="shared" si="8"/>
        <v>38.88782359</v>
      </c>
      <c r="S17" s="26">
        <v>60397.0</v>
      </c>
      <c r="T17" s="31">
        <f t="shared" si="9"/>
        <v>8.098880985</v>
      </c>
      <c r="U17" s="26">
        <v>18317.0</v>
      </c>
      <c r="V17" s="31">
        <f t="shared" si="10"/>
        <v>2.456201517</v>
      </c>
      <c r="W17" s="26">
        <v>26886.0</v>
      </c>
      <c r="X17" s="31">
        <f t="shared" si="11"/>
        <v>3.605253807</v>
      </c>
      <c r="Y17" s="26">
        <v>57881.0</v>
      </c>
      <c r="Z17" s="31">
        <f t="shared" si="12"/>
        <v>7.761500245</v>
      </c>
      <c r="AA17" s="26">
        <v>20171.0</v>
      </c>
      <c r="AB17" s="31">
        <f t="shared" si="13"/>
        <v>2.704811967</v>
      </c>
      <c r="AC17" s="26">
        <v>34356.0</v>
      </c>
      <c r="AD17" s="31">
        <f t="shared" si="14"/>
        <v>4.606936687</v>
      </c>
      <c r="AE17" s="26">
        <v>14783.0</v>
      </c>
      <c r="AF17" s="31">
        <f t="shared" si="15"/>
        <v>1.982312989</v>
      </c>
      <c r="AG17" s="26">
        <v>8904.0</v>
      </c>
      <c r="AH17" s="31">
        <f t="shared" si="16"/>
        <v>1.193973811</v>
      </c>
    </row>
    <row r="18">
      <c r="A18" s="25" t="s">
        <v>53</v>
      </c>
      <c r="B18" s="26">
        <f>'i_C17-18'!C18</f>
        <v>728694</v>
      </c>
      <c r="C18" s="26">
        <v>488814.0</v>
      </c>
      <c r="D18" s="31">
        <f t="shared" si="1"/>
        <v>67.08083228</v>
      </c>
      <c r="E18" s="26">
        <v>483798.0</v>
      </c>
      <c r="F18" s="31">
        <f t="shared" si="2"/>
        <v>66.3924775</v>
      </c>
      <c r="G18" s="26">
        <v>70208.0</v>
      </c>
      <c r="H18" s="31">
        <f t="shared" si="3"/>
        <v>9.634771248</v>
      </c>
      <c r="I18" s="26">
        <v>226891.0</v>
      </c>
      <c r="J18" s="31">
        <f t="shared" si="4"/>
        <v>31.13666368</v>
      </c>
      <c r="K18" s="26">
        <v>119568.0</v>
      </c>
      <c r="L18" s="31">
        <f t="shared" si="5"/>
        <v>16.40853362</v>
      </c>
      <c r="M18" s="26">
        <v>165696.0</v>
      </c>
      <c r="N18" s="31">
        <f t="shared" si="6"/>
        <v>22.73876277</v>
      </c>
      <c r="O18" s="26">
        <v>145513.0</v>
      </c>
      <c r="P18" s="31">
        <f t="shared" si="7"/>
        <v>19.96901306</v>
      </c>
      <c r="Q18" s="26">
        <v>86725.0</v>
      </c>
      <c r="R18" s="31">
        <f t="shared" si="8"/>
        <v>11.90142913</v>
      </c>
      <c r="S18" s="26">
        <v>42338.0</v>
      </c>
      <c r="T18" s="31">
        <f t="shared" si="9"/>
        <v>5.810120572</v>
      </c>
      <c r="U18" s="26">
        <v>11155.0</v>
      </c>
      <c r="V18" s="31">
        <f t="shared" si="10"/>
        <v>1.530820893</v>
      </c>
      <c r="W18" s="26">
        <v>79963.0</v>
      </c>
      <c r="X18" s="31">
        <f t="shared" si="11"/>
        <v>10.9734676</v>
      </c>
      <c r="Y18" s="26">
        <v>109248.0</v>
      </c>
      <c r="Z18" s="31">
        <f t="shared" si="12"/>
        <v>14.9923013</v>
      </c>
      <c r="AA18" s="26">
        <v>57334.0</v>
      </c>
      <c r="AB18" s="31">
        <f t="shared" si="13"/>
        <v>7.868048866</v>
      </c>
      <c r="AC18" s="26">
        <v>11219.0</v>
      </c>
      <c r="AD18" s="31">
        <f t="shared" si="14"/>
        <v>1.539603729</v>
      </c>
      <c r="AE18" s="26">
        <v>1013.0</v>
      </c>
      <c r="AF18" s="31">
        <f t="shared" si="15"/>
        <v>0.1390158283</v>
      </c>
      <c r="AG18" s="26">
        <v>11350.0</v>
      </c>
      <c r="AH18" s="31">
        <f t="shared" si="16"/>
        <v>1.557581097</v>
      </c>
    </row>
    <row r="19">
      <c r="A19" s="25" t="s">
        <v>54</v>
      </c>
      <c r="B19" s="26">
        <f>'i_C17-18'!C19</f>
        <v>592764</v>
      </c>
      <c r="C19" s="26">
        <v>473739.0</v>
      </c>
      <c r="D19" s="31">
        <f t="shared" si="1"/>
        <v>79.92033929</v>
      </c>
      <c r="E19" s="26">
        <v>442476.0</v>
      </c>
      <c r="F19" s="31">
        <f t="shared" si="2"/>
        <v>74.64623358</v>
      </c>
      <c r="G19" s="26">
        <v>111298.0</v>
      </c>
      <c r="H19" s="31">
        <f t="shared" si="3"/>
        <v>18.77610651</v>
      </c>
      <c r="I19" s="26">
        <v>125871.0</v>
      </c>
      <c r="J19" s="31">
        <f t="shared" si="4"/>
        <v>21.23458915</v>
      </c>
      <c r="K19" s="26">
        <v>124807.0</v>
      </c>
      <c r="L19" s="31">
        <f t="shared" si="5"/>
        <v>21.05509106</v>
      </c>
      <c r="M19" s="26">
        <v>141053.0</v>
      </c>
      <c r="N19" s="31">
        <f t="shared" si="6"/>
        <v>23.79581081</v>
      </c>
      <c r="O19" s="26">
        <v>200517.0</v>
      </c>
      <c r="P19" s="31">
        <f t="shared" si="7"/>
        <v>33.82745916</v>
      </c>
      <c r="Q19" s="26">
        <v>64082.0</v>
      </c>
      <c r="R19" s="31">
        <f t="shared" si="8"/>
        <v>10.8107105</v>
      </c>
      <c r="S19" s="26">
        <v>96358.0</v>
      </c>
      <c r="T19" s="31">
        <f t="shared" si="9"/>
        <v>16.25571054</v>
      </c>
      <c r="U19" s="26">
        <v>57961.0</v>
      </c>
      <c r="V19" s="31">
        <f t="shared" si="10"/>
        <v>9.778090437</v>
      </c>
      <c r="W19" s="26">
        <v>53074.0</v>
      </c>
      <c r="X19" s="31">
        <f t="shared" si="11"/>
        <v>8.953647657</v>
      </c>
      <c r="Y19" s="26">
        <v>116412.0</v>
      </c>
      <c r="Z19" s="31">
        <f t="shared" si="12"/>
        <v>19.63884446</v>
      </c>
      <c r="AA19" s="26">
        <v>38204.0</v>
      </c>
      <c r="AB19" s="31">
        <f t="shared" si="13"/>
        <v>6.445060766</v>
      </c>
      <c r="AC19" s="26">
        <v>30687.0</v>
      </c>
      <c r="AD19" s="31">
        <f t="shared" si="14"/>
        <v>5.176933822</v>
      </c>
      <c r="AE19" s="26">
        <v>6469.0</v>
      </c>
      <c r="AF19" s="31">
        <f t="shared" si="15"/>
        <v>1.091328083</v>
      </c>
      <c r="AG19" s="26">
        <v>10088.0</v>
      </c>
      <c r="AH19" s="31">
        <f t="shared" si="16"/>
        <v>1.701857738</v>
      </c>
    </row>
    <row r="20">
      <c r="A20" s="25" t="s">
        <v>56</v>
      </c>
      <c r="B20" s="26">
        <f>'i_C17-18'!C20</f>
        <v>633212</v>
      </c>
      <c r="C20" s="26">
        <v>325793.0</v>
      </c>
      <c r="D20" s="31">
        <f t="shared" si="1"/>
        <v>51.4508569</v>
      </c>
      <c r="E20" s="26">
        <v>284277.0</v>
      </c>
      <c r="F20" s="31">
        <f t="shared" si="2"/>
        <v>44.89444294</v>
      </c>
      <c r="G20" s="26">
        <v>76048.0</v>
      </c>
      <c r="H20" s="31">
        <f t="shared" si="3"/>
        <v>12.00987979</v>
      </c>
      <c r="I20" s="26">
        <v>208280.0</v>
      </c>
      <c r="J20" s="31">
        <f t="shared" si="4"/>
        <v>32.89261732</v>
      </c>
      <c r="K20" s="26">
        <v>145702.0</v>
      </c>
      <c r="L20" s="31">
        <f t="shared" si="5"/>
        <v>23.00998718</v>
      </c>
      <c r="M20" s="26">
        <v>142716.0</v>
      </c>
      <c r="N20" s="31">
        <f t="shared" si="6"/>
        <v>22.53842315</v>
      </c>
      <c r="O20" s="26">
        <v>148100.0</v>
      </c>
      <c r="P20" s="31">
        <f t="shared" si="7"/>
        <v>23.38869131</v>
      </c>
      <c r="Q20" s="26">
        <v>395155.0</v>
      </c>
      <c r="R20" s="31">
        <f t="shared" si="8"/>
        <v>62.40485019</v>
      </c>
      <c r="S20" s="26">
        <v>69375.0</v>
      </c>
      <c r="T20" s="31">
        <f t="shared" si="9"/>
        <v>10.95604632</v>
      </c>
      <c r="U20" s="26">
        <v>41943.0</v>
      </c>
      <c r="V20" s="31">
        <f t="shared" si="10"/>
        <v>6.623847937</v>
      </c>
      <c r="W20" s="26">
        <v>87102.0</v>
      </c>
      <c r="X20" s="31">
        <f t="shared" si="11"/>
        <v>13.75558265</v>
      </c>
      <c r="Y20" s="26">
        <v>121128.0</v>
      </c>
      <c r="Z20" s="31">
        <f t="shared" si="12"/>
        <v>19.12913842</v>
      </c>
      <c r="AA20" s="26">
        <v>68535.0</v>
      </c>
      <c r="AB20" s="31">
        <f t="shared" si="13"/>
        <v>10.82338932</v>
      </c>
      <c r="AC20" s="26">
        <v>13148.0</v>
      </c>
      <c r="AD20" s="31">
        <f t="shared" si="14"/>
        <v>2.076397794</v>
      </c>
      <c r="AE20" s="26">
        <v>8734.0</v>
      </c>
      <c r="AF20" s="31">
        <f t="shared" si="15"/>
        <v>1.37931688</v>
      </c>
      <c r="AG20" s="26">
        <v>25344.0</v>
      </c>
      <c r="AH20" s="31">
        <f t="shared" si="16"/>
        <v>4.002450996</v>
      </c>
    </row>
    <row r="21" ht="15.75" customHeight="1">
      <c r="A21" s="25" t="s">
        <v>57</v>
      </c>
      <c r="B21" s="26">
        <f>'i_C17-18'!C21</f>
        <v>308306</v>
      </c>
      <c r="C21" s="26">
        <v>180877.0</v>
      </c>
      <c r="D21" s="31">
        <f t="shared" si="1"/>
        <v>58.66801165</v>
      </c>
      <c r="E21" s="26">
        <v>153785.0</v>
      </c>
      <c r="F21" s="31">
        <f t="shared" si="2"/>
        <v>49.88063807</v>
      </c>
      <c r="G21" s="26">
        <v>46109.0</v>
      </c>
      <c r="H21" s="31">
        <f t="shared" si="3"/>
        <v>14.95559606</v>
      </c>
      <c r="I21" s="26">
        <v>35876.0</v>
      </c>
      <c r="J21" s="31">
        <f t="shared" si="4"/>
        <v>11.63649102</v>
      </c>
      <c r="K21" s="26">
        <v>43184.0</v>
      </c>
      <c r="L21" s="31">
        <f t="shared" si="5"/>
        <v>14.00686331</v>
      </c>
      <c r="M21" s="26">
        <v>56290.0</v>
      </c>
      <c r="N21" s="31">
        <f t="shared" si="6"/>
        <v>18.25783475</v>
      </c>
      <c r="O21" s="26">
        <v>80712.0</v>
      </c>
      <c r="P21" s="31">
        <f t="shared" si="7"/>
        <v>26.17918561</v>
      </c>
      <c r="Q21" s="26">
        <v>101088.0</v>
      </c>
      <c r="R21" s="31">
        <f t="shared" si="8"/>
        <v>32.78820393</v>
      </c>
      <c r="S21" s="26">
        <v>23184.0</v>
      </c>
      <c r="T21" s="31">
        <f t="shared" si="9"/>
        <v>7.519801755</v>
      </c>
      <c r="U21" s="26">
        <v>13985.0</v>
      </c>
      <c r="V21" s="31">
        <f t="shared" si="10"/>
        <v>4.536077793</v>
      </c>
      <c r="W21" s="26">
        <v>5714.0</v>
      </c>
      <c r="X21" s="31">
        <f t="shared" si="11"/>
        <v>1.853353486</v>
      </c>
      <c r="Y21" s="26">
        <v>103631.0</v>
      </c>
      <c r="Z21" s="31">
        <f t="shared" si="12"/>
        <v>33.6130338</v>
      </c>
      <c r="AA21" s="26">
        <v>9723.0</v>
      </c>
      <c r="AB21" s="31">
        <f t="shared" si="13"/>
        <v>3.153684975</v>
      </c>
      <c r="AC21" s="26">
        <v>0.0</v>
      </c>
      <c r="AD21" s="31">
        <f t="shared" si="14"/>
        <v>0</v>
      </c>
      <c r="AE21" s="26">
        <v>0.0</v>
      </c>
      <c r="AF21" s="31">
        <f t="shared" si="15"/>
        <v>0</v>
      </c>
      <c r="AG21" s="26">
        <v>697.0</v>
      </c>
      <c r="AH21" s="31">
        <f t="shared" si="16"/>
        <v>0.2260740952</v>
      </c>
    </row>
    <row r="22" ht="15.75" customHeight="1">
      <c r="A22" s="25" t="s">
        <v>59</v>
      </c>
      <c r="B22" s="26">
        <f>'i_C17-18'!C22</f>
        <v>395390</v>
      </c>
      <c r="C22" s="26">
        <v>291100.0</v>
      </c>
      <c r="D22" s="31">
        <f t="shared" si="1"/>
        <v>73.62351096</v>
      </c>
      <c r="E22" s="26">
        <v>264961.0</v>
      </c>
      <c r="F22" s="31">
        <f t="shared" si="2"/>
        <v>67.01256987</v>
      </c>
      <c r="G22" s="26">
        <v>56273.0</v>
      </c>
      <c r="H22" s="31">
        <f t="shared" si="3"/>
        <v>14.23227699</v>
      </c>
      <c r="I22" s="26">
        <v>22239.0</v>
      </c>
      <c r="J22" s="31">
        <f t="shared" si="4"/>
        <v>5.624573206</v>
      </c>
      <c r="K22" s="26">
        <v>10459.0</v>
      </c>
      <c r="L22" s="31">
        <f t="shared" si="5"/>
        <v>2.645236349</v>
      </c>
      <c r="M22" s="26">
        <v>43283.0</v>
      </c>
      <c r="N22" s="31">
        <f t="shared" si="6"/>
        <v>10.94691317</v>
      </c>
      <c r="O22" s="26">
        <v>57823.0</v>
      </c>
      <c r="P22" s="31">
        <f t="shared" si="7"/>
        <v>14.624295</v>
      </c>
      <c r="Q22" s="26">
        <v>96647.0</v>
      </c>
      <c r="R22" s="31">
        <f t="shared" si="8"/>
        <v>24.44346089</v>
      </c>
      <c r="S22" s="26">
        <v>7061.0</v>
      </c>
      <c r="T22" s="31">
        <f t="shared" si="9"/>
        <v>1.78583171</v>
      </c>
      <c r="U22" s="26">
        <v>3728.0</v>
      </c>
      <c r="V22" s="31">
        <f t="shared" si="10"/>
        <v>0.9428665368</v>
      </c>
      <c r="W22" s="26">
        <v>0.0</v>
      </c>
      <c r="X22" s="31">
        <f t="shared" si="11"/>
        <v>0</v>
      </c>
      <c r="Y22" s="26">
        <v>37759.0</v>
      </c>
      <c r="Z22" s="31">
        <f t="shared" si="12"/>
        <v>9.549811578</v>
      </c>
      <c r="AA22" s="26">
        <v>1882.0</v>
      </c>
      <c r="AB22" s="31">
        <f t="shared" si="13"/>
        <v>0.4759857356</v>
      </c>
      <c r="AC22" s="26">
        <v>0.0</v>
      </c>
      <c r="AD22" s="31">
        <f t="shared" si="14"/>
        <v>0</v>
      </c>
      <c r="AE22" s="26">
        <v>3107.0</v>
      </c>
      <c r="AF22" s="31">
        <f t="shared" si="15"/>
        <v>0.785806419</v>
      </c>
      <c r="AG22" s="26">
        <v>4220.0</v>
      </c>
      <c r="AH22" s="31">
        <f t="shared" si="16"/>
        <v>1.06730064</v>
      </c>
    </row>
    <row r="23" ht="15.75" customHeight="1">
      <c r="A23" s="25" t="s">
        <v>60</v>
      </c>
      <c r="B23" s="26">
        <f>'i_C17-18'!C23</f>
        <v>631885</v>
      </c>
      <c r="C23" s="26">
        <v>321816.0</v>
      </c>
      <c r="D23" s="31">
        <f t="shared" si="1"/>
        <v>50.9295204</v>
      </c>
      <c r="E23" s="26">
        <v>422875.0</v>
      </c>
      <c r="F23" s="31">
        <f t="shared" si="2"/>
        <v>66.92277867</v>
      </c>
      <c r="G23" s="26">
        <v>59823.0</v>
      </c>
      <c r="H23" s="31">
        <f t="shared" si="3"/>
        <v>9.467387262</v>
      </c>
      <c r="I23" s="26">
        <v>208550.0</v>
      </c>
      <c r="J23" s="31">
        <f t="shared" si="4"/>
        <v>33.00442327</v>
      </c>
      <c r="K23" s="26">
        <v>205866.0</v>
      </c>
      <c r="L23" s="31">
        <f t="shared" si="5"/>
        <v>32.57966244</v>
      </c>
      <c r="M23" s="26">
        <v>171646.0</v>
      </c>
      <c r="N23" s="31">
        <f t="shared" si="6"/>
        <v>27.16412005</v>
      </c>
      <c r="O23" s="26">
        <v>135668.0</v>
      </c>
      <c r="P23" s="31">
        <f t="shared" si="7"/>
        <v>21.47036249</v>
      </c>
      <c r="Q23" s="26">
        <v>212103.0</v>
      </c>
      <c r="R23" s="31">
        <f t="shared" si="8"/>
        <v>33.56670913</v>
      </c>
      <c r="S23" s="26">
        <v>24465.0</v>
      </c>
      <c r="T23" s="31">
        <f t="shared" si="9"/>
        <v>3.871748815</v>
      </c>
      <c r="U23" s="26">
        <v>6639.0</v>
      </c>
      <c r="V23" s="31">
        <f t="shared" si="10"/>
        <v>1.050665865</v>
      </c>
      <c r="W23" s="26">
        <v>51726.0</v>
      </c>
      <c r="X23" s="31">
        <f t="shared" si="11"/>
        <v>8.185983209</v>
      </c>
      <c r="Y23" s="26">
        <v>218296.0</v>
      </c>
      <c r="Z23" s="31">
        <f t="shared" si="12"/>
        <v>34.54679253</v>
      </c>
      <c r="AA23" s="26">
        <v>53181.0</v>
      </c>
      <c r="AB23" s="31">
        <f t="shared" si="13"/>
        <v>8.416246627</v>
      </c>
      <c r="AC23" s="26">
        <v>9875.0</v>
      </c>
      <c r="AD23" s="31">
        <f t="shared" si="14"/>
        <v>1.562784367</v>
      </c>
      <c r="AE23" s="26">
        <v>3341.0</v>
      </c>
      <c r="AF23" s="31">
        <f t="shared" si="15"/>
        <v>0.5287354503</v>
      </c>
      <c r="AG23" s="26">
        <v>10558.0</v>
      </c>
      <c r="AH23" s="31">
        <f t="shared" si="16"/>
        <v>1.670873656</v>
      </c>
    </row>
    <row r="24" ht="15.75" customHeight="1">
      <c r="A24" s="25" t="s">
        <v>63</v>
      </c>
      <c r="B24" s="26">
        <f>'i_C17-18'!C24</f>
        <v>679998</v>
      </c>
      <c r="C24" s="26">
        <v>471739.0</v>
      </c>
      <c r="D24" s="31">
        <f t="shared" si="1"/>
        <v>69.37358639</v>
      </c>
      <c r="E24" s="26">
        <v>379817.0</v>
      </c>
      <c r="F24" s="31">
        <f t="shared" si="2"/>
        <v>55.85560546</v>
      </c>
      <c r="G24" s="26">
        <v>223515.0</v>
      </c>
      <c r="H24" s="31">
        <f t="shared" si="3"/>
        <v>32.86994962</v>
      </c>
      <c r="I24" s="26">
        <v>127279.0</v>
      </c>
      <c r="J24" s="31">
        <f t="shared" si="4"/>
        <v>18.71755505</v>
      </c>
      <c r="K24" s="26">
        <v>86998.0</v>
      </c>
      <c r="L24" s="31">
        <f t="shared" si="5"/>
        <v>12.79386116</v>
      </c>
      <c r="M24" s="26">
        <v>67730.0</v>
      </c>
      <c r="N24" s="31">
        <f t="shared" si="6"/>
        <v>9.960323413</v>
      </c>
      <c r="O24" s="26">
        <v>89778.0</v>
      </c>
      <c r="P24" s="31">
        <f t="shared" si="7"/>
        <v>13.20268589</v>
      </c>
      <c r="Q24" s="26">
        <v>85922.0</v>
      </c>
      <c r="R24" s="31">
        <f t="shared" si="8"/>
        <v>12.6356254</v>
      </c>
      <c r="S24" s="26">
        <v>23086.0</v>
      </c>
      <c r="T24" s="31">
        <f t="shared" si="9"/>
        <v>3.395009985</v>
      </c>
      <c r="U24" s="26">
        <v>4043.0</v>
      </c>
      <c r="V24" s="31">
        <f t="shared" si="10"/>
        <v>0.5945605722</v>
      </c>
      <c r="W24" s="26">
        <v>7572.0</v>
      </c>
      <c r="X24" s="31">
        <f t="shared" si="11"/>
        <v>1.113532687</v>
      </c>
      <c r="Y24" s="26">
        <v>65405.0</v>
      </c>
      <c r="Z24" s="31">
        <f t="shared" si="12"/>
        <v>9.618410642</v>
      </c>
      <c r="AA24" s="26">
        <v>8104.0</v>
      </c>
      <c r="AB24" s="31">
        <f t="shared" si="13"/>
        <v>1.191768211</v>
      </c>
      <c r="AC24" s="26">
        <v>22432.0</v>
      </c>
      <c r="AD24" s="31">
        <f t="shared" si="14"/>
        <v>3.298833232</v>
      </c>
      <c r="AE24" s="26">
        <v>1913.0</v>
      </c>
      <c r="AF24" s="31">
        <f t="shared" si="15"/>
        <v>0.2813243568</v>
      </c>
      <c r="AG24" s="26">
        <v>816.0</v>
      </c>
      <c r="AH24" s="31">
        <f t="shared" si="16"/>
        <v>0.1200003529</v>
      </c>
    </row>
    <row r="25" ht="15.75" customHeight="1">
      <c r="A25" s="25" t="s">
        <v>64</v>
      </c>
      <c r="B25" s="26">
        <f>'i_C17-18'!C25</f>
        <v>210715</v>
      </c>
      <c r="C25" s="26">
        <v>162469.0</v>
      </c>
      <c r="D25" s="31">
        <f t="shared" si="1"/>
        <v>77.10367084</v>
      </c>
      <c r="E25" s="26">
        <v>121731.0</v>
      </c>
      <c r="F25" s="31">
        <f t="shared" si="2"/>
        <v>57.77044824</v>
      </c>
      <c r="G25" s="26">
        <v>31981.0</v>
      </c>
      <c r="H25" s="31">
        <f t="shared" si="3"/>
        <v>15.17737228</v>
      </c>
      <c r="I25" s="26">
        <v>57846.0</v>
      </c>
      <c r="J25" s="31">
        <f t="shared" si="4"/>
        <v>27.45224592</v>
      </c>
      <c r="K25" s="26">
        <v>55183.0</v>
      </c>
      <c r="L25" s="31">
        <f t="shared" si="5"/>
        <v>26.1884536</v>
      </c>
      <c r="M25" s="26">
        <v>43814.0</v>
      </c>
      <c r="N25" s="31">
        <f t="shared" si="6"/>
        <v>20.79301426</v>
      </c>
      <c r="O25" s="26">
        <v>40280.0</v>
      </c>
      <c r="P25" s="31">
        <f t="shared" si="7"/>
        <v>19.1158674</v>
      </c>
      <c r="Q25" s="26">
        <v>67959.0</v>
      </c>
      <c r="R25" s="31">
        <f t="shared" si="8"/>
        <v>32.25161949</v>
      </c>
      <c r="S25" s="26">
        <v>12871.0</v>
      </c>
      <c r="T25" s="31">
        <f t="shared" si="9"/>
        <v>6.108250481</v>
      </c>
      <c r="U25" s="26">
        <v>1247.0</v>
      </c>
      <c r="V25" s="31">
        <f t="shared" si="10"/>
        <v>0.5917946041</v>
      </c>
      <c r="W25" s="26">
        <v>5879.0</v>
      </c>
      <c r="X25" s="31">
        <f t="shared" si="11"/>
        <v>2.790024441</v>
      </c>
      <c r="Y25" s="26">
        <v>32380.0</v>
      </c>
      <c r="Z25" s="31">
        <f t="shared" si="12"/>
        <v>15.36672757</v>
      </c>
      <c r="AA25" s="26">
        <v>9067.0</v>
      </c>
      <c r="AB25" s="31">
        <f t="shared" si="13"/>
        <v>4.302968465</v>
      </c>
      <c r="AC25" s="26">
        <v>366.0</v>
      </c>
      <c r="AD25" s="31">
        <f t="shared" si="14"/>
        <v>0.1736943265</v>
      </c>
      <c r="AE25" s="26">
        <v>0.0</v>
      </c>
      <c r="AF25" s="31">
        <f t="shared" si="15"/>
        <v>0</v>
      </c>
      <c r="AG25" s="26">
        <v>4070.0</v>
      </c>
      <c r="AH25" s="31">
        <f t="shared" si="16"/>
        <v>1.931518876</v>
      </c>
    </row>
    <row r="26" ht="15.75" customHeight="1">
      <c r="A26" s="25" t="s">
        <v>65</v>
      </c>
      <c r="B26" s="26">
        <f>'i_C17-18'!C26</f>
        <v>101218</v>
      </c>
      <c r="C26" s="26">
        <v>17924.0</v>
      </c>
      <c r="D26" s="31">
        <f t="shared" si="1"/>
        <v>17.70831275</v>
      </c>
      <c r="E26" s="26">
        <v>58903.0</v>
      </c>
      <c r="F26" s="31">
        <f t="shared" si="2"/>
        <v>58.19419471</v>
      </c>
      <c r="G26" s="26">
        <v>2452.0</v>
      </c>
      <c r="H26" s="31">
        <f t="shared" si="3"/>
        <v>2.422494023</v>
      </c>
      <c r="I26" s="26">
        <v>9806.0</v>
      </c>
      <c r="J26" s="31">
        <f t="shared" si="4"/>
        <v>9.688000158</v>
      </c>
      <c r="K26" s="26">
        <v>1196.0</v>
      </c>
      <c r="L26" s="31">
        <f t="shared" si="5"/>
        <v>1.181608014</v>
      </c>
      <c r="M26" s="26">
        <v>7117.0</v>
      </c>
      <c r="N26" s="31">
        <f t="shared" si="6"/>
        <v>7.031358059</v>
      </c>
      <c r="O26" s="26">
        <v>5341.0</v>
      </c>
      <c r="P26" s="31">
        <f t="shared" si="7"/>
        <v>5.276729435</v>
      </c>
      <c r="Q26" s="26">
        <v>30942.0</v>
      </c>
      <c r="R26" s="31">
        <f t="shared" si="8"/>
        <v>30.56966152</v>
      </c>
      <c r="S26" s="26">
        <v>0.0</v>
      </c>
      <c r="T26" s="31">
        <f t="shared" si="9"/>
        <v>0</v>
      </c>
      <c r="U26" s="26">
        <v>0.0</v>
      </c>
      <c r="V26" s="31">
        <f t="shared" si="10"/>
        <v>0</v>
      </c>
      <c r="W26" s="26">
        <v>0.0</v>
      </c>
      <c r="X26" s="31">
        <f t="shared" si="11"/>
        <v>0</v>
      </c>
      <c r="Y26" s="26">
        <v>481.0</v>
      </c>
      <c r="Z26" s="31">
        <f t="shared" si="12"/>
        <v>0.4752119188</v>
      </c>
      <c r="AA26" s="26">
        <v>0.0</v>
      </c>
      <c r="AB26" s="31">
        <f t="shared" si="13"/>
        <v>0</v>
      </c>
      <c r="AC26" s="26">
        <v>0.0</v>
      </c>
      <c r="AD26" s="31">
        <f t="shared" si="14"/>
        <v>0</v>
      </c>
      <c r="AE26" s="26">
        <v>0.0</v>
      </c>
      <c r="AF26" s="31">
        <f t="shared" si="15"/>
        <v>0</v>
      </c>
      <c r="AG26" s="26">
        <v>0.0</v>
      </c>
      <c r="AH26" s="31">
        <f t="shared" si="16"/>
        <v>0</v>
      </c>
    </row>
    <row r="27" ht="15.75" customHeight="1">
      <c r="A27" s="28"/>
      <c r="B27" s="28"/>
      <c r="C27" s="28"/>
      <c r="D27" s="28"/>
      <c r="E27" s="28"/>
      <c r="F27" s="28"/>
      <c r="G27" s="28"/>
      <c r="H27" s="28"/>
      <c r="I27" s="28"/>
      <c r="J27" s="28"/>
      <c r="K27" s="28"/>
      <c r="L27" s="28"/>
      <c r="M27" s="28"/>
      <c r="N27" s="28"/>
      <c r="O27" s="28"/>
      <c r="P27" s="28"/>
      <c r="Q27" s="28"/>
      <c r="R27" s="28"/>
      <c r="S27" s="28"/>
      <c r="T27" s="28"/>
      <c r="U27" s="28"/>
      <c r="V27" s="28"/>
      <c r="W27" s="28"/>
      <c r="X27" s="28"/>
      <c r="Y27" s="28"/>
      <c r="Z27" s="28"/>
      <c r="AA27" s="28"/>
      <c r="AB27" s="28"/>
      <c r="AC27" s="28"/>
      <c r="AD27" s="28"/>
      <c r="AE27" s="28"/>
      <c r="AF27" s="28"/>
      <c r="AG27" s="28"/>
      <c r="AH27" s="28"/>
    </row>
    <row r="28" ht="15.75" customHeight="1">
      <c r="A28" s="8"/>
      <c r="B28" s="9"/>
      <c r="C28" s="9"/>
      <c r="D28" s="9"/>
      <c r="E28" s="9"/>
      <c r="F28" s="9"/>
      <c r="G28" s="9"/>
      <c r="H28" s="9"/>
      <c r="I28" s="9"/>
      <c r="J28" s="9"/>
      <c r="K28" s="9"/>
      <c r="L28" s="9"/>
      <c r="M28" s="9"/>
      <c r="N28" s="9"/>
      <c r="O28" s="9"/>
      <c r="P28" s="9"/>
      <c r="Q28" s="9"/>
      <c r="R28" s="9"/>
      <c r="S28" s="9"/>
      <c r="T28" s="9"/>
      <c r="U28" s="9"/>
      <c r="V28" s="9"/>
      <c r="W28" s="9"/>
      <c r="X28" s="9"/>
    </row>
    <row r="29" ht="15.75" customHeight="1">
      <c r="A29" s="10" t="s">
        <v>13</v>
      </c>
      <c r="B29" s="42">
        <v>2024.0</v>
      </c>
      <c r="C29" s="14"/>
      <c r="D29" s="14"/>
      <c r="E29" s="14"/>
      <c r="F29" s="14"/>
      <c r="G29" s="14"/>
      <c r="H29" s="14"/>
      <c r="I29" s="14"/>
      <c r="J29" s="14"/>
      <c r="K29" s="14"/>
      <c r="L29" s="14"/>
      <c r="M29" s="14"/>
      <c r="N29" s="14"/>
      <c r="O29" s="14"/>
      <c r="P29" s="14"/>
      <c r="Q29" s="14"/>
      <c r="R29" s="14"/>
      <c r="S29" s="14"/>
      <c r="T29" s="14"/>
      <c r="U29" s="14"/>
      <c r="V29" s="14"/>
      <c r="W29" s="14"/>
      <c r="X29" s="14"/>
      <c r="Y29" s="14"/>
      <c r="Z29" s="14"/>
      <c r="AA29" s="14"/>
      <c r="AB29" s="14"/>
      <c r="AC29" s="14"/>
      <c r="AD29" s="15"/>
    </row>
    <row r="30" ht="15.75" customHeight="1">
      <c r="A30" s="17"/>
      <c r="B30" s="48" t="s">
        <v>194</v>
      </c>
      <c r="C30" s="42" t="s">
        <v>209</v>
      </c>
      <c r="D30" s="14"/>
      <c r="E30" s="14"/>
      <c r="F30" s="14"/>
      <c r="G30" s="14"/>
      <c r="H30" s="14"/>
      <c r="I30" s="14"/>
      <c r="J30" s="14"/>
      <c r="K30" s="14"/>
      <c r="L30" s="14"/>
      <c r="M30" s="14"/>
      <c r="N30" s="14"/>
      <c r="O30" s="14"/>
      <c r="P30" s="14"/>
      <c r="Q30" s="14"/>
      <c r="R30" s="14"/>
      <c r="S30" s="14"/>
      <c r="T30" s="14"/>
      <c r="U30" s="14"/>
      <c r="V30" s="14"/>
      <c r="W30" s="14"/>
      <c r="X30" s="14"/>
      <c r="Y30" s="14"/>
      <c r="Z30" s="14"/>
      <c r="AA30" s="14"/>
      <c r="AB30" s="14"/>
      <c r="AC30" s="14"/>
      <c r="AD30" s="15"/>
    </row>
    <row r="31" ht="75.0" customHeight="1">
      <c r="A31" s="17"/>
      <c r="B31" s="50"/>
      <c r="C31" s="13" t="s">
        <v>232</v>
      </c>
      <c r="D31" s="15"/>
      <c r="E31" s="13" t="s">
        <v>233</v>
      </c>
      <c r="F31" s="15"/>
      <c r="G31" s="13" t="s">
        <v>234</v>
      </c>
      <c r="H31" s="15"/>
      <c r="I31" s="13" t="s">
        <v>235</v>
      </c>
      <c r="J31" s="15"/>
      <c r="K31" s="13" t="s">
        <v>236</v>
      </c>
      <c r="L31" s="15"/>
      <c r="M31" s="13" t="s">
        <v>221</v>
      </c>
      <c r="N31" s="15"/>
      <c r="O31" s="13" t="s">
        <v>238</v>
      </c>
      <c r="P31" s="15"/>
      <c r="Q31" s="13" t="s">
        <v>239</v>
      </c>
      <c r="R31" s="15"/>
      <c r="S31" s="13" t="s">
        <v>240</v>
      </c>
      <c r="T31" s="15"/>
      <c r="U31" s="13" t="s">
        <v>241</v>
      </c>
      <c r="V31" s="15"/>
      <c r="W31" s="13" t="s">
        <v>242</v>
      </c>
      <c r="X31" s="15"/>
      <c r="Y31" s="13" t="s">
        <v>223</v>
      </c>
      <c r="Z31" s="15"/>
      <c r="AA31" s="13" t="s">
        <v>224</v>
      </c>
      <c r="AB31" s="15"/>
      <c r="AC31" s="13" t="s">
        <v>243</v>
      </c>
      <c r="AD31" s="15"/>
    </row>
    <row r="32" ht="15.75" customHeight="1">
      <c r="A32" s="18"/>
      <c r="B32" s="40"/>
      <c r="C32" s="24" t="s">
        <v>37</v>
      </c>
      <c r="D32" s="24" t="s">
        <v>39</v>
      </c>
      <c r="E32" s="24" t="s">
        <v>37</v>
      </c>
      <c r="F32" s="24" t="s">
        <v>39</v>
      </c>
      <c r="G32" s="24" t="s">
        <v>37</v>
      </c>
      <c r="H32" s="24" t="s">
        <v>39</v>
      </c>
      <c r="I32" s="24" t="s">
        <v>37</v>
      </c>
      <c r="J32" s="24" t="s">
        <v>39</v>
      </c>
      <c r="K32" s="24" t="s">
        <v>37</v>
      </c>
      <c r="L32" s="24" t="s">
        <v>39</v>
      </c>
      <c r="M32" s="24" t="s">
        <v>37</v>
      </c>
      <c r="N32" s="24" t="s">
        <v>39</v>
      </c>
      <c r="O32" s="24" t="s">
        <v>37</v>
      </c>
      <c r="P32" s="24" t="s">
        <v>39</v>
      </c>
      <c r="Q32" s="24" t="s">
        <v>37</v>
      </c>
      <c r="R32" s="24" t="s">
        <v>39</v>
      </c>
      <c r="S32" s="24" t="s">
        <v>37</v>
      </c>
      <c r="T32" s="24" t="s">
        <v>39</v>
      </c>
      <c r="U32" s="24" t="s">
        <v>37</v>
      </c>
      <c r="V32" s="24" t="s">
        <v>39</v>
      </c>
      <c r="W32" s="24" t="s">
        <v>37</v>
      </c>
      <c r="X32" s="24" t="s">
        <v>39</v>
      </c>
      <c r="Y32" s="24" t="s">
        <v>37</v>
      </c>
      <c r="Z32" s="24" t="s">
        <v>39</v>
      </c>
      <c r="AA32" s="24" t="s">
        <v>37</v>
      </c>
      <c r="AB32" s="24" t="s">
        <v>39</v>
      </c>
      <c r="AC32" s="24" t="s">
        <v>37</v>
      </c>
      <c r="AD32" s="24" t="s">
        <v>39</v>
      </c>
    </row>
    <row r="33" ht="15.75" customHeight="1">
      <c r="A33" s="16"/>
      <c r="B33" s="20"/>
      <c r="C33" s="20"/>
      <c r="D33" s="20"/>
      <c r="E33" s="20"/>
      <c r="F33" s="20"/>
      <c r="G33" s="20"/>
      <c r="H33" s="20"/>
      <c r="I33" s="20"/>
      <c r="J33" s="20"/>
      <c r="K33" s="20"/>
      <c r="L33" s="20"/>
      <c r="M33" s="20"/>
      <c r="N33" s="20"/>
      <c r="O33" s="20"/>
      <c r="P33" s="20"/>
      <c r="Q33" s="20"/>
      <c r="R33" s="20"/>
      <c r="S33" s="20"/>
      <c r="T33" s="20"/>
      <c r="U33" s="20"/>
      <c r="V33" s="20"/>
      <c r="W33" s="20"/>
      <c r="X33" s="20"/>
      <c r="Y33" s="20"/>
      <c r="Z33" s="20"/>
      <c r="AA33" s="20"/>
      <c r="AB33" s="20"/>
      <c r="AC33" s="20"/>
      <c r="AD33" s="20"/>
    </row>
    <row r="34" ht="15.75" customHeight="1">
      <c r="A34" s="22" t="s">
        <v>33</v>
      </c>
      <c r="B34" s="23">
        <v>1.6326632E7</v>
      </c>
      <c r="C34" s="23">
        <v>1.0825243E7</v>
      </c>
      <c r="D34" s="27">
        <f t="shared" ref="D34:D51" si="17">(C34/$B34)*100</f>
        <v>66.30420163</v>
      </c>
      <c r="E34" s="23">
        <v>1.3670707E7</v>
      </c>
      <c r="F34" s="27">
        <f t="shared" ref="F34:F51" si="18">(E34/$B34)*100</f>
        <v>83.7325604</v>
      </c>
      <c r="G34" s="23">
        <v>7373384.0</v>
      </c>
      <c r="H34" s="27">
        <f t="shared" ref="H34:H51" si="19">(G34/$B34)*100</f>
        <v>45.16169655</v>
      </c>
      <c r="I34" s="23">
        <v>6458582.0</v>
      </c>
      <c r="J34" s="27">
        <f t="shared" ref="J34:J51" si="20">(I34/$B34)*100</f>
        <v>39.55856909</v>
      </c>
      <c r="K34" s="23">
        <v>7500638.0</v>
      </c>
      <c r="L34" s="27">
        <f t="shared" ref="L34:L51" si="21">(K34/$B34)*100</f>
        <v>45.94112246</v>
      </c>
      <c r="M34" s="23">
        <v>8442424.0</v>
      </c>
      <c r="N34" s="27">
        <f t="shared" ref="N34:N51" si="22">(M34/$B34)*100</f>
        <v>51.70952588</v>
      </c>
      <c r="O34" s="23">
        <v>8009369.0</v>
      </c>
      <c r="P34" s="27">
        <f t="shared" ref="P34:P51" si="23">(O34/$B34)*100</f>
        <v>49.05708048</v>
      </c>
      <c r="Q34" s="23">
        <v>6992632.0</v>
      </c>
      <c r="R34" s="27">
        <f t="shared" ref="R34:R51" si="24">(Q34/$B34)*100</f>
        <v>42.82960503</v>
      </c>
      <c r="S34" s="23">
        <v>7608090.0</v>
      </c>
      <c r="T34" s="27">
        <f t="shared" ref="T34:T51" si="25">(S34/$B34)*100</f>
        <v>46.59926187</v>
      </c>
      <c r="U34" s="23">
        <v>7655882.0</v>
      </c>
      <c r="V34" s="27">
        <f t="shared" ref="V34:V51" si="26">(U34/$B34)*100</f>
        <v>46.89198605</v>
      </c>
      <c r="W34" s="23">
        <v>7138142.0</v>
      </c>
      <c r="X34" s="27">
        <f t="shared" ref="X34:X51" si="27">(W34/$B34)*100</f>
        <v>43.72084824</v>
      </c>
      <c r="Y34" s="23">
        <v>4481600.0</v>
      </c>
      <c r="Z34" s="27">
        <f t="shared" ref="Z34:Z51" si="28">(Y34/$B34)*100</f>
        <v>27.44962954</v>
      </c>
      <c r="AA34" s="23">
        <v>2242614.0</v>
      </c>
      <c r="AB34" s="27">
        <f t="shared" ref="AB34:AB51" si="29">(AA34/$B34)*100</f>
        <v>13.73592545</v>
      </c>
      <c r="AC34" s="23">
        <v>2023952.0</v>
      </c>
      <c r="AD34" s="27">
        <f t="shared" ref="AD34:AD51" si="30">(AC34/$B34)*100</f>
        <v>12.39662902</v>
      </c>
      <c r="AE34" s="41"/>
      <c r="AF34" s="41"/>
    </row>
    <row r="35" ht="15.75" customHeight="1">
      <c r="A35" s="25" t="s">
        <v>38</v>
      </c>
      <c r="B35" s="26">
        <v>3504411.0</v>
      </c>
      <c r="C35" s="26">
        <v>2346062.0</v>
      </c>
      <c r="D35" s="31">
        <f t="shared" si="17"/>
        <v>66.94597181</v>
      </c>
      <c r="E35" s="26">
        <v>3187140.0</v>
      </c>
      <c r="F35" s="31">
        <f t="shared" si="18"/>
        <v>90.94652425</v>
      </c>
      <c r="G35" s="26">
        <v>1730336.0</v>
      </c>
      <c r="H35" s="31">
        <f t="shared" si="19"/>
        <v>49.37594363</v>
      </c>
      <c r="I35" s="26">
        <v>1450649.0</v>
      </c>
      <c r="J35" s="31">
        <f t="shared" si="20"/>
        <v>41.39494483</v>
      </c>
      <c r="K35" s="26">
        <v>1719165.0</v>
      </c>
      <c r="L35" s="31">
        <f t="shared" si="21"/>
        <v>49.05717394</v>
      </c>
      <c r="M35" s="26">
        <v>1685043.0</v>
      </c>
      <c r="N35" s="31">
        <f t="shared" si="22"/>
        <v>48.08348678</v>
      </c>
      <c r="O35" s="26">
        <v>1946963.0</v>
      </c>
      <c r="P35" s="31">
        <f t="shared" si="23"/>
        <v>55.55749597</v>
      </c>
      <c r="Q35" s="26">
        <v>1712411.0</v>
      </c>
      <c r="R35" s="31">
        <f t="shared" si="24"/>
        <v>48.86444541</v>
      </c>
      <c r="S35" s="26">
        <v>2179103.0</v>
      </c>
      <c r="T35" s="31">
        <f t="shared" si="25"/>
        <v>62.18171898</v>
      </c>
      <c r="U35" s="26">
        <v>2139009.0</v>
      </c>
      <c r="V35" s="31">
        <f t="shared" si="26"/>
        <v>61.03761802</v>
      </c>
      <c r="W35" s="26">
        <v>1959074.0</v>
      </c>
      <c r="X35" s="31">
        <f t="shared" si="27"/>
        <v>55.90308899</v>
      </c>
      <c r="Y35" s="26">
        <v>1225681.0</v>
      </c>
      <c r="Z35" s="31">
        <f t="shared" si="28"/>
        <v>34.97537817</v>
      </c>
      <c r="AA35" s="26">
        <v>652287.0</v>
      </c>
      <c r="AB35" s="31">
        <f t="shared" si="29"/>
        <v>18.61331334</v>
      </c>
      <c r="AC35" s="26">
        <v>542324.0</v>
      </c>
      <c r="AD35" s="31">
        <f t="shared" si="30"/>
        <v>15.47546792</v>
      </c>
      <c r="AE35" s="41"/>
      <c r="AF35" s="41"/>
    </row>
    <row r="36" ht="15.75" customHeight="1">
      <c r="A36" s="25" t="s">
        <v>41</v>
      </c>
      <c r="B36" s="26">
        <v>311852.0</v>
      </c>
      <c r="C36" s="26">
        <v>230258.0</v>
      </c>
      <c r="D36" s="31">
        <f t="shared" si="17"/>
        <v>73.83566564</v>
      </c>
      <c r="E36" s="26">
        <v>236711.0</v>
      </c>
      <c r="F36" s="31">
        <f t="shared" si="18"/>
        <v>75.90491643</v>
      </c>
      <c r="G36" s="26">
        <v>139220.0</v>
      </c>
      <c r="H36" s="31">
        <f t="shared" si="19"/>
        <v>44.64297167</v>
      </c>
      <c r="I36" s="26">
        <v>116279.0</v>
      </c>
      <c r="J36" s="31">
        <f t="shared" si="20"/>
        <v>37.28659749</v>
      </c>
      <c r="K36" s="26">
        <v>126317.0</v>
      </c>
      <c r="L36" s="31">
        <f t="shared" si="21"/>
        <v>40.50543206</v>
      </c>
      <c r="M36" s="26">
        <v>192134.0</v>
      </c>
      <c r="N36" s="31">
        <f t="shared" si="22"/>
        <v>61.61063581</v>
      </c>
      <c r="O36" s="26">
        <v>142119.0</v>
      </c>
      <c r="P36" s="31">
        <f t="shared" si="23"/>
        <v>45.5725793</v>
      </c>
      <c r="Q36" s="26">
        <v>118439.0</v>
      </c>
      <c r="R36" s="31">
        <f t="shared" si="24"/>
        <v>37.97923374</v>
      </c>
      <c r="S36" s="26">
        <v>131469.0</v>
      </c>
      <c r="T36" s="31">
        <f t="shared" si="25"/>
        <v>42.15749779</v>
      </c>
      <c r="U36" s="26">
        <v>129050.0</v>
      </c>
      <c r="V36" s="31">
        <f t="shared" si="26"/>
        <v>41.38180932</v>
      </c>
      <c r="W36" s="26">
        <v>113596.0</v>
      </c>
      <c r="X36" s="31">
        <f t="shared" si="27"/>
        <v>36.42625348</v>
      </c>
      <c r="Y36" s="26">
        <v>81231.0</v>
      </c>
      <c r="Z36" s="31">
        <f t="shared" si="28"/>
        <v>26.04793299</v>
      </c>
      <c r="AA36" s="26">
        <v>32490.0</v>
      </c>
      <c r="AB36" s="31">
        <f t="shared" si="29"/>
        <v>10.4184036</v>
      </c>
      <c r="AC36" s="26">
        <v>30066.0</v>
      </c>
      <c r="AD36" s="31">
        <f t="shared" si="30"/>
        <v>9.641111809</v>
      </c>
      <c r="AE36" s="41"/>
      <c r="AF36" s="41"/>
    </row>
    <row r="37" ht="15.75" customHeight="1">
      <c r="A37" s="25" t="s">
        <v>43</v>
      </c>
      <c r="B37" s="26">
        <v>653859.0</v>
      </c>
      <c r="C37" s="26">
        <v>422251.0</v>
      </c>
      <c r="D37" s="31">
        <f t="shared" si="17"/>
        <v>64.57829593</v>
      </c>
      <c r="E37" s="26">
        <v>564117.0</v>
      </c>
      <c r="F37" s="31">
        <f t="shared" si="18"/>
        <v>86.2750226</v>
      </c>
      <c r="G37" s="26">
        <v>208647.0</v>
      </c>
      <c r="H37" s="31">
        <f t="shared" si="19"/>
        <v>31.91009071</v>
      </c>
      <c r="I37" s="26">
        <v>231186.0</v>
      </c>
      <c r="J37" s="31">
        <f t="shared" si="20"/>
        <v>35.35716416</v>
      </c>
      <c r="K37" s="26">
        <v>325669.0</v>
      </c>
      <c r="L37" s="31">
        <f t="shared" si="21"/>
        <v>49.80722143</v>
      </c>
      <c r="M37" s="26">
        <v>326086.0</v>
      </c>
      <c r="N37" s="31">
        <f t="shared" si="22"/>
        <v>49.87099665</v>
      </c>
      <c r="O37" s="26">
        <v>297609.0</v>
      </c>
      <c r="P37" s="31">
        <f t="shared" si="23"/>
        <v>45.51577634</v>
      </c>
      <c r="Q37" s="26">
        <v>238183.0</v>
      </c>
      <c r="R37" s="31">
        <f t="shared" si="24"/>
        <v>36.42727255</v>
      </c>
      <c r="S37" s="26">
        <v>222651.0</v>
      </c>
      <c r="T37" s="31">
        <f t="shared" si="25"/>
        <v>34.05183686</v>
      </c>
      <c r="U37" s="26">
        <v>240298.0</v>
      </c>
      <c r="V37" s="31">
        <f t="shared" si="26"/>
        <v>36.75073678</v>
      </c>
      <c r="W37" s="26">
        <v>220575.0</v>
      </c>
      <c r="X37" s="31">
        <f t="shared" si="27"/>
        <v>33.73433722</v>
      </c>
      <c r="Y37" s="26">
        <v>111668.0</v>
      </c>
      <c r="Z37" s="31">
        <f t="shared" si="28"/>
        <v>17.07829976</v>
      </c>
      <c r="AA37" s="26">
        <v>60949.0</v>
      </c>
      <c r="AB37" s="31">
        <f t="shared" si="29"/>
        <v>9.321428626</v>
      </c>
      <c r="AC37" s="26">
        <v>68676.0</v>
      </c>
      <c r="AD37" s="31">
        <f t="shared" si="30"/>
        <v>10.50318188</v>
      </c>
      <c r="AE37" s="41"/>
      <c r="AF37" s="41"/>
    </row>
    <row r="38" ht="15.75" customHeight="1">
      <c r="A38" s="25" t="s">
        <v>44</v>
      </c>
      <c r="B38" s="26">
        <v>524739.0</v>
      </c>
      <c r="C38" s="26">
        <v>422119.0</v>
      </c>
      <c r="D38" s="31">
        <f t="shared" si="17"/>
        <v>80.44361101</v>
      </c>
      <c r="E38" s="26">
        <v>421864.0</v>
      </c>
      <c r="F38" s="31">
        <f t="shared" si="18"/>
        <v>80.39501543</v>
      </c>
      <c r="G38" s="26">
        <v>279822.0</v>
      </c>
      <c r="H38" s="31">
        <f t="shared" si="19"/>
        <v>53.32593918</v>
      </c>
      <c r="I38" s="26">
        <v>221345.0</v>
      </c>
      <c r="J38" s="31">
        <f t="shared" si="20"/>
        <v>42.18192282</v>
      </c>
      <c r="K38" s="26">
        <v>237731.0</v>
      </c>
      <c r="L38" s="31">
        <f t="shared" si="21"/>
        <v>45.30461811</v>
      </c>
      <c r="M38" s="26">
        <v>329018.0</v>
      </c>
      <c r="N38" s="31">
        <f t="shared" si="22"/>
        <v>62.70126672</v>
      </c>
      <c r="O38" s="26">
        <v>261567.0</v>
      </c>
      <c r="P38" s="31">
        <f t="shared" si="23"/>
        <v>49.84706683</v>
      </c>
      <c r="Q38" s="26">
        <v>266679.0</v>
      </c>
      <c r="R38" s="31">
        <f t="shared" si="24"/>
        <v>50.82126543</v>
      </c>
      <c r="S38" s="26">
        <v>259880.0</v>
      </c>
      <c r="T38" s="31">
        <f t="shared" si="25"/>
        <v>49.52557367</v>
      </c>
      <c r="U38" s="26">
        <v>228446.0</v>
      </c>
      <c r="V38" s="31">
        <f t="shared" si="26"/>
        <v>43.53516701</v>
      </c>
      <c r="W38" s="26">
        <v>207843.0</v>
      </c>
      <c r="X38" s="31">
        <f t="shared" si="27"/>
        <v>39.60883411</v>
      </c>
      <c r="Y38" s="26">
        <v>158230.0</v>
      </c>
      <c r="Z38" s="31">
        <f t="shared" si="28"/>
        <v>30.15403848</v>
      </c>
      <c r="AA38" s="26">
        <v>33940.0</v>
      </c>
      <c r="AB38" s="31">
        <f t="shared" si="29"/>
        <v>6.467977414</v>
      </c>
      <c r="AC38" s="26">
        <v>37730.0</v>
      </c>
      <c r="AD38" s="31">
        <f t="shared" si="30"/>
        <v>7.190241244</v>
      </c>
      <c r="AE38" s="41"/>
      <c r="AF38" s="41"/>
    </row>
    <row r="39" ht="15.75" customHeight="1">
      <c r="A39" s="25" t="s">
        <v>46</v>
      </c>
      <c r="B39" s="26">
        <v>1898000.0</v>
      </c>
      <c r="C39" s="26">
        <v>1020683.0</v>
      </c>
      <c r="D39" s="31">
        <f t="shared" si="17"/>
        <v>53.77676502</v>
      </c>
      <c r="E39" s="26">
        <v>1584175.0</v>
      </c>
      <c r="F39" s="31">
        <f t="shared" si="18"/>
        <v>83.46548999</v>
      </c>
      <c r="G39" s="26">
        <v>721789.0</v>
      </c>
      <c r="H39" s="31">
        <f t="shared" si="19"/>
        <v>38.02892518</v>
      </c>
      <c r="I39" s="26">
        <v>680672.0</v>
      </c>
      <c r="J39" s="31">
        <f t="shared" si="20"/>
        <v>35.8625922</v>
      </c>
      <c r="K39" s="26">
        <v>778815.0</v>
      </c>
      <c r="L39" s="31">
        <f t="shared" si="21"/>
        <v>41.03345627</v>
      </c>
      <c r="M39" s="26">
        <v>895207.0</v>
      </c>
      <c r="N39" s="31">
        <f t="shared" si="22"/>
        <v>47.16580611</v>
      </c>
      <c r="O39" s="26">
        <v>729743.0</v>
      </c>
      <c r="P39" s="31">
        <f t="shared" si="23"/>
        <v>38.44799789</v>
      </c>
      <c r="Q39" s="26">
        <v>598001.0</v>
      </c>
      <c r="R39" s="31">
        <f t="shared" si="24"/>
        <v>31.506902</v>
      </c>
      <c r="S39" s="26">
        <v>725819.0</v>
      </c>
      <c r="T39" s="31">
        <f t="shared" si="25"/>
        <v>38.24125395</v>
      </c>
      <c r="U39" s="26">
        <v>775791.0</v>
      </c>
      <c r="V39" s="31">
        <f t="shared" si="26"/>
        <v>40.87413066</v>
      </c>
      <c r="W39" s="26">
        <v>687364.0</v>
      </c>
      <c r="X39" s="31">
        <f t="shared" si="27"/>
        <v>36.21517387</v>
      </c>
      <c r="Y39" s="26">
        <v>376341.0</v>
      </c>
      <c r="Z39" s="31">
        <f t="shared" si="28"/>
        <v>19.82829294</v>
      </c>
      <c r="AA39" s="26">
        <v>168539.0</v>
      </c>
      <c r="AB39" s="31">
        <f t="shared" si="29"/>
        <v>8.879820864</v>
      </c>
      <c r="AC39" s="26">
        <v>167853.0</v>
      </c>
      <c r="AD39" s="31">
        <f t="shared" si="30"/>
        <v>8.843677555</v>
      </c>
      <c r="AE39" s="41"/>
      <c r="AF39" s="41"/>
    </row>
    <row r="40" ht="15.75" customHeight="1">
      <c r="A40" s="25" t="s">
        <v>48</v>
      </c>
      <c r="B40" s="26">
        <v>3038615.0</v>
      </c>
      <c r="C40" s="26">
        <v>2067537.0</v>
      </c>
      <c r="D40" s="31">
        <f t="shared" si="17"/>
        <v>68.04208496</v>
      </c>
      <c r="E40" s="26">
        <v>2618582.0</v>
      </c>
      <c r="F40" s="31">
        <f t="shared" si="18"/>
        <v>86.17682727</v>
      </c>
      <c r="G40" s="26">
        <v>1488289.0</v>
      </c>
      <c r="H40" s="31">
        <f t="shared" si="19"/>
        <v>48.97918953</v>
      </c>
      <c r="I40" s="26">
        <v>1413468.0</v>
      </c>
      <c r="J40" s="31">
        <f t="shared" si="20"/>
        <v>46.5168506</v>
      </c>
      <c r="K40" s="26">
        <v>1627998.0</v>
      </c>
      <c r="L40" s="31">
        <f t="shared" si="21"/>
        <v>53.57697504</v>
      </c>
      <c r="M40" s="26">
        <v>1544843.0</v>
      </c>
      <c r="N40" s="31">
        <f t="shared" si="22"/>
        <v>50.84036642</v>
      </c>
      <c r="O40" s="26">
        <v>1712148.0</v>
      </c>
      <c r="P40" s="31">
        <f t="shared" si="23"/>
        <v>56.34632884</v>
      </c>
      <c r="Q40" s="26">
        <v>1479658.0</v>
      </c>
      <c r="R40" s="31">
        <f t="shared" si="24"/>
        <v>48.69514565</v>
      </c>
      <c r="S40" s="26">
        <v>1596401.0</v>
      </c>
      <c r="T40" s="31">
        <f t="shared" si="25"/>
        <v>52.53712629</v>
      </c>
      <c r="U40" s="26">
        <v>1519544.0</v>
      </c>
      <c r="V40" s="31">
        <f t="shared" si="26"/>
        <v>50.00778315</v>
      </c>
      <c r="W40" s="26">
        <v>1379946.0</v>
      </c>
      <c r="X40" s="31">
        <f t="shared" si="27"/>
        <v>45.41365063</v>
      </c>
      <c r="Y40" s="26">
        <v>949662.0</v>
      </c>
      <c r="Z40" s="31">
        <f t="shared" si="28"/>
        <v>31.25312025</v>
      </c>
      <c r="AA40" s="26">
        <v>531973.0</v>
      </c>
      <c r="AB40" s="31">
        <f t="shared" si="29"/>
        <v>17.50708793</v>
      </c>
      <c r="AC40" s="26">
        <v>457784.0</v>
      </c>
      <c r="AD40" s="31">
        <f t="shared" si="30"/>
        <v>15.06554796</v>
      </c>
      <c r="AE40" s="41"/>
      <c r="AF40" s="41"/>
    </row>
    <row r="41" ht="15.75" customHeight="1">
      <c r="A41" s="25" t="s">
        <v>50</v>
      </c>
      <c r="B41" s="26">
        <v>371870.0</v>
      </c>
      <c r="C41" s="26">
        <v>270950.0</v>
      </c>
      <c r="D41" s="31">
        <f t="shared" si="17"/>
        <v>72.86148385</v>
      </c>
      <c r="E41" s="26">
        <v>298615.0</v>
      </c>
      <c r="F41" s="31">
        <f t="shared" si="18"/>
        <v>80.30091161</v>
      </c>
      <c r="G41" s="26">
        <v>165041.0</v>
      </c>
      <c r="H41" s="31">
        <f t="shared" si="19"/>
        <v>44.38136983</v>
      </c>
      <c r="I41" s="26">
        <v>138659.0</v>
      </c>
      <c r="J41" s="31">
        <f t="shared" si="20"/>
        <v>37.28695512</v>
      </c>
      <c r="K41" s="26">
        <v>199374.0</v>
      </c>
      <c r="L41" s="31">
        <f t="shared" si="21"/>
        <v>53.61389733</v>
      </c>
      <c r="M41" s="26">
        <v>219846.0</v>
      </c>
      <c r="N41" s="31">
        <f t="shared" si="22"/>
        <v>59.11904698</v>
      </c>
      <c r="O41" s="26">
        <v>204176.0</v>
      </c>
      <c r="P41" s="31">
        <f t="shared" si="23"/>
        <v>54.90520881</v>
      </c>
      <c r="Q41" s="26">
        <v>180285.0</v>
      </c>
      <c r="R41" s="31">
        <f t="shared" si="24"/>
        <v>48.48065184</v>
      </c>
      <c r="S41" s="26">
        <v>180078.0</v>
      </c>
      <c r="T41" s="31">
        <f t="shared" si="25"/>
        <v>48.42498723</v>
      </c>
      <c r="U41" s="26">
        <v>151305.0</v>
      </c>
      <c r="V41" s="31">
        <f t="shared" si="26"/>
        <v>40.68760588</v>
      </c>
      <c r="W41" s="26">
        <v>112601.0</v>
      </c>
      <c r="X41" s="31">
        <f t="shared" si="27"/>
        <v>30.27966763</v>
      </c>
      <c r="Y41" s="26">
        <v>83623.0</v>
      </c>
      <c r="Z41" s="31">
        <f t="shared" si="28"/>
        <v>22.48715949</v>
      </c>
      <c r="AA41" s="26">
        <v>34299.0</v>
      </c>
      <c r="AB41" s="31">
        <f t="shared" si="29"/>
        <v>9.223384516</v>
      </c>
      <c r="AC41" s="26">
        <v>35182.0</v>
      </c>
      <c r="AD41" s="31">
        <f t="shared" si="30"/>
        <v>9.460833087</v>
      </c>
      <c r="AE41" s="41"/>
      <c r="AF41" s="41"/>
    </row>
    <row r="42" ht="15.75" customHeight="1">
      <c r="A42" s="25" t="s">
        <v>51</v>
      </c>
      <c r="B42" s="26">
        <v>665051.0</v>
      </c>
      <c r="C42" s="26">
        <v>536446.0</v>
      </c>
      <c r="D42" s="31">
        <f t="shared" si="17"/>
        <v>80.66238529</v>
      </c>
      <c r="E42" s="26">
        <v>510535.0</v>
      </c>
      <c r="F42" s="31">
        <f t="shared" si="18"/>
        <v>76.76629311</v>
      </c>
      <c r="G42" s="26">
        <v>344844.0</v>
      </c>
      <c r="H42" s="31">
        <f t="shared" si="19"/>
        <v>51.85226396</v>
      </c>
      <c r="I42" s="26">
        <v>272671.0</v>
      </c>
      <c r="J42" s="31">
        <f t="shared" si="20"/>
        <v>41.00001353</v>
      </c>
      <c r="K42" s="26">
        <v>317762.0</v>
      </c>
      <c r="L42" s="31">
        <f t="shared" si="21"/>
        <v>47.78009506</v>
      </c>
      <c r="M42" s="26">
        <v>427703.0</v>
      </c>
      <c r="N42" s="31">
        <f t="shared" si="22"/>
        <v>64.31130846</v>
      </c>
      <c r="O42" s="26">
        <v>329303.0</v>
      </c>
      <c r="P42" s="31">
        <f t="shared" si="23"/>
        <v>49.51545069</v>
      </c>
      <c r="Q42" s="26">
        <v>353337.0</v>
      </c>
      <c r="R42" s="31">
        <f t="shared" si="24"/>
        <v>53.12930888</v>
      </c>
      <c r="S42" s="26">
        <v>322887.0</v>
      </c>
      <c r="T42" s="31">
        <f t="shared" si="25"/>
        <v>48.55071265</v>
      </c>
      <c r="U42" s="26">
        <v>354374.0</v>
      </c>
      <c r="V42" s="31">
        <f t="shared" si="26"/>
        <v>53.28523677</v>
      </c>
      <c r="W42" s="26">
        <v>389926.0</v>
      </c>
      <c r="X42" s="31">
        <f t="shared" si="27"/>
        <v>58.63099221</v>
      </c>
      <c r="Y42" s="26">
        <v>230051.0</v>
      </c>
      <c r="Z42" s="31">
        <f t="shared" si="28"/>
        <v>34.59148246</v>
      </c>
      <c r="AA42" s="26">
        <v>88636.0</v>
      </c>
      <c r="AB42" s="31">
        <f t="shared" si="29"/>
        <v>13.32769968</v>
      </c>
      <c r="AC42" s="26">
        <v>89371.0</v>
      </c>
      <c r="AD42" s="31">
        <f t="shared" si="30"/>
        <v>13.43821752</v>
      </c>
      <c r="AE42" s="41"/>
      <c r="AF42" s="41"/>
    </row>
    <row r="43" ht="15.75" customHeight="1">
      <c r="A43" s="25" t="s">
        <v>53</v>
      </c>
      <c r="B43" s="26">
        <v>881484.0</v>
      </c>
      <c r="C43" s="26">
        <v>674347.0</v>
      </c>
      <c r="D43" s="31">
        <f t="shared" si="17"/>
        <v>76.50133184</v>
      </c>
      <c r="E43" s="26">
        <v>737783.0</v>
      </c>
      <c r="F43" s="31">
        <f t="shared" si="18"/>
        <v>83.69783229</v>
      </c>
      <c r="G43" s="26">
        <v>469830.0</v>
      </c>
      <c r="H43" s="31">
        <f t="shared" si="19"/>
        <v>53.29988973</v>
      </c>
      <c r="I43" s="26">
        <v>315612.0</v>
      </c>
      <c r="J43" s="31">
        <f t="shared" si="20"/>
        <v>35.80462039</v>
      </c>
      <c r="K43" s="26">
        <v>324262.0</v>
      </c>
      <c r="L43" s="31">
        <f t="shared" si="21"/>
        <v>36.78592011</v>
      </c>
      <c r="M43" s="26">
        <v>515726.0</v>
      </c>
      <c r="N43" s="31">
        <f t="shared" si="22"/>
        <v>58.50656393</v>
      </c>
      <c r="O43" s="26">
        <v>408584.0</v>
      </c>
      <c r="P43" s="31">
        <f t="shared" si="23"/>
        <v>46.35183395</v>
      </c>
      <c r="Q43" s="26">
        <v>364408.0</v>
      </c>
      <c r="R43" s="31">
        <f t="shared" si="24"/>
        <v>41.34028525</v>
      </c>
      <c r="S43" s="26">
        <v>312164.0</v>
      </c>
      <c r="T43" s="31">
        <f t="shared" si="25"/>
        <v>35.41346184</v>
      </c>
      <c r="U43" s="26">
        <v>337613.0</v>
      </c>
      <c r="V43" s="31">
        <f t="shared" si="26"/>
        <v>38.30052502</v>
      </c>
      <c r="W43" s="26">
        <v>375732.0</v>
      </c>
      <c r="X43" s="31">
        <f t="shared" si="27"/>
        <v>42.62493704</v>
      </c>
      <c r="Y43" s="26">
        <v>159271.0</v>
      </c>
      <c r="Z43" s="31">
        <f t="shared" si="28"/>
        <v>18.0685072</v>
      </c>
      <c r="AA43" s="26">
        <v>113297.0</v>
      </c>
      <c r="AB43" s="31">
        <f t="shared" si="29"/>
        <v>12.85298429</v>
      </c>
      <c r="AC43" s="26">
        <v>78689.0</v>
      </c>
      <c r="AD43" s="31">
        <f t="shared" si="30"/>
        <v>8.926877856</v>
      </c>
      <c r="AE43" s="41"/>
      <c r="AF43" s="41"/>
    </row>
    <row r="44" ht="15.75" customHeight="1">
      <c r="A44" s="25" t="s">
        <v>54</v>
      </c>
      <c r="B44" s="26">
        <v>1377557.0</v>
      </c>
      <c r="C44" s="26">
        <v>914629.0</v>
      </c>
      <c r="D44" s="31">
        <f t="shared" si="17"/>
        <v>66.39500217</v>
      </c>
      <c r="E44" s="26">
        <v>1067245.0</v>
      </c>
      <c r="F44" s="31">
        <f t="shared" si="18"/>
        <v>77.47374519</v>
      </c>
      <c r="G44" s="26">
        <v>528897.0</v>
      </c>
      <c r="H44" s="31">
        <f t="shared" si="19"/>
        <v>38.39383779</v>
      </c>
      <c r="I44" s="26">
        <v>640305.0</v>
      </c>
      <c r="J44" s="31">
        <f t="shared" si="20"/>
        <v>46.48119824</v>
      </c>
      <c r="K44" s="26">
        <v>592132.0</v>
      </c>
      <c r="L44" s="31">
        <f t="shared" si="21"/>
        <v>42.98421045</v>
      </c>
      <c r="M44" s="26">
        <v>745640.0</v>
      </c>
      <c r="N44" s="31">
        <f t="shared" si="22"/>
        <v>54.12770579</v>
      </c>
      <c r="O44" s="26">
        <v>615226.0</v>
      </c>
      <c r="P44" s="31">
        <f t="shared" si="23"/>
        <v>44.66065651</v>
      </c>
      <c r="Q44" s="26">
        <v>565801.0</v>
      </c>
      <c r="R44" s="31">
        <f t="shared" si="24"/>
        <v>41.0727832</v>
      </c>
      <c r="S44" s="26">
        <v>544612.0</v>
      </c>
      <c r="T44" s="31">
        <f t="shared" si="25"/>
        <v>39.53462543</v>
      </c>
      <c r="U44" s="26">
        <v>615077.0</v>
      </c>
      <c r="V44" s="31">
        <f t="shared" si="26"/>
        <v>44.64984026</v>
      </c>
      <c r="W44" s="26">
        <v>645307.0</v>
      </c>
      <c r="X44" s="31">
        <f t="shared" si="27"/>
        <v>46.84430481</v>
      </c>
      <c r="Y44" s="26">
        <v>453643.0</v>
      </c>
      <c r="Z44" s="31">
        <f t="shared" si="28"/>
        <v>32.93097854</v>
      </c>
      <c r="AA44" s="26">
        <v>228168.0</v>
      </c>
      <c r="AB44" s="31">
        <f t="shared" si="29"/>
        <v>16.56323477</v>
      </c>
      <c r="AC44" s="26">
        <v>217300.0</v>
      </c>
      <c r="AD44" s="31">
        <f t="shared" si="30"/>
        <v>15.7743019</v>
      </c>
      <c r="AE44" s="41"/>
      <c r="AF44" s="41"/>
    </row>
    <row r="45" ht="15.75" customHeight="1">
      <c r="A45" s="25" t="s">
        <v>56</v>
      </c>
      <c r="B45" s="26">
        <v>578535.0</v>
      </c>
      <c r="C45" s="26">
        <v>367277.0</v>
      </c>
      <c r="D45" s="31">
        <f t="shared" si="17"/>
        <v>63.48397245</v>
      </c>
      <c r="E45" s="26">
        <v>472077.0</v>
      </c>
      <c r="F45" s="31">
        <f t="shared" si="18"/>
        <v>81.59869325</v>
      </c>
      <c r="G45" s="26">
        <v>278996.0</v>
      </c>
      <c r="H45" s="31">
        <f t="shared" si="19"/>
        <v>48.22456723</v>
      </c>
      <c r="I45" s="26">
        <v>234724.0</v>
      </c>
      <c r="J45" s="31">
        <f t="shared" si="20"/>
        <v>40.57213479</v>
      </c>
      <c r="K45" s="26">
        <v>259888.0</v>
      </c>
      <c r="L45" s="31">
        <f t="shared" si="21"/>
        <v>44.92174199</v>
      </c>
      <c r="M45" s="26">
        <v>333119.0</v>
      </c>
      <c r="N45" s="31">
        <f t="shared" si="22"/>
        <v>57.57974885</v>
      </c>
      <c r="O45" s="26">
        <v>283177.0</v>
      </c>
      <c r="P45" s="31">
        <f t="shared" si="23"/>
        <v>48.9472547</v>
      </c>
      <c r="Q45" s="26">
        <v>232388.0</v>
      </c>
      <c r="R45" s="31">
        <f t="shared" si="24"/>
        <v>40.16835628</v>
      </c>
      <c r="S45" s="26">
        <v>238720.0</v>
      </c>
      <c r="T45" s="31">
        <f t="shared" si="25"/>
        <v>41.26284494</v>
      </c>
      <c r="U45" s="26">
        <v>247912.0</v>
      </c>
      <c r="V45" s="31">
        <f t="shared" si="26"/>
        <v>42.85168572</v>
      </c>
      <c r="W45" s="26">
        <v>220832.0</v>
      </c>
      <c r="X45" s="31">
        <f t="shared" si="27"/>
        <v>38.17089718</v>
      </c>
      <c r="Y45" s="26">
        <v>172187.0</v>
      </c>
      <c r="Z45" s="31">
        <f t="shared" si="28"/>
        <v>29.76258999</v>
      </c>
      <c r="AA45" s="26">
        <v>66948.0</v>
      </c>
      <c r="AB45" s="31">
        <f t="shared" si="29"/>
        <v>11.57198787</v>
      </c>
      <c r="AC45" s="26">
        <v>89287.0</v>
      </c>
      <c r="AD45" s="31">
        <f t="shared" si="30"/>
        <v>15.43329271</v>
      </c>
      <c r="AE45" s="41"/>
      <c r="AF45" s="41"/>
    </row>
    <row r="46" ht="15.75" customHeight="1">
      <c r="A46" s="25" t="s">
        <v>57</v>
      </c>
      <c r="B46" s="26">
        <v>246673.0</v>
      </c>
      <c r="C46" s="26">
        <v>133502.0</v>
      </c>
      <c r="D46" s="31">
        <f t="shared" si="17"/>
        <v>54.12104284</v>
      </c>
      <c r="E46" s="26">
        <v>194608.0</v>
      </c>
      <c r="F46" s="31">
        <f t="shared" si="18"/>
        <v>78.8931095</v>
      </c>
      <c r="G46" s="26">
        <v>87479.0</v>
      </c>
      <c r="H46" s="31">
        <f t="shared" si="19"/>
        <v>35.46354891</v>
      </c>
      <c r="I46" s="26">
        <v>49203.0</v>
      </c>
      <c r="J46" s="31">
        <f t="shared" si="20"/>
        <v>19.94665002</v>
      </c>
      <c r="K46" s="26">
        <v>60830.0</v>
      </c>
      <c r="L46" s="31">
        <f t="shared" si="21"/>
        <v>24.66017764</v>
      </c>
      <c r="M46" s="26">
        <v>109672.0</v>
      </c>
      <c r="N46" s="31">
        <f t="shared" si="22"/>
        <v>44.46048007</v>
      </c>
      <c r="O46" s="26">
        <v>82978.0</v>
      </c>
      <c r="P46" s="31">
        <f t="shared" si="23"/>
        <v>33.63886603</v>
      </c>
      <c r="Q46" s="26">
        <v>66642.0</v>
      </c>
      <c r="R46" s="31">
        <f t="shared" si="24"/>
        <v>27.01633336</v>
      </c>
      <c r="S46" s="26">
        <v>37850.0</v>
      </c>
      <c r="T46" s="31">
        <f t="shared" si="25"/>
        <v>15.34420062</v>
      </c>
      <c r="U46" s="26">
        <v>50167.0</v>
      </c>
      <c r="V46" s="31">
        <f t="shared" si="26"/>
        <v>20.3374508</v>
      </c>
      <c r="W46" s="26">
        <v>50088.0</v>
      </c>
      <c r="X46" s="31">
        <f t="shared" si="27"/>
        <v>20.30542459</v>
      </c>
      <c r="Y46" s="26">
        <v>36147.0</v>
      </c>
      <c r="Z46" s="31">
        <f t="shared" si="28"/>
        <v>14.65381294</v>
      </c>
      <c r="AA46" s="26">
        <v>13179.0</v>
      </c>
      <c r="AB46" s="31">
        <f t="shared" si="29"/>
        <v>5.34270066</v>
      </c>
      <c r="AC46" s="26">
        <v>12601.0</v>
      </c>
      <c r="AD46" s="31">
        <f t="shared" si="30"/>
        <v>5.108382352</v>
      </c>
      <c r="AE46" s="41"/>
      <c r="AF46" s="41"/>
    </row>
    <row r="47" ht="15.75" customHeight="1">
      <c r="A47" s="25" t="s">
        <v>59</v>
      </c>
      <c r="B47" s="26">
        <v>817740.0</v>
      </c>
      <c r="C47" s="26">
        <v>546483.0</v>
      </c>
      <c r="D47" s="31">
        <f t="shared" si="17"/>
        <v>66.82845403</v>
      </c>
      <c r="E47" s="26">
        <v>663311.0</v>
      </c>
      <c r="F47" s="31">
        <f t="shared" si="18"/>
        <v>81.11514662</v>
      </c>
      <c r="G47" s="26">
        <v>318609.0</v>
      </c>
      <c r="H47" s="31">
        <f t="shared" si="19"/>
        <v>38.96213956</v>
      </c>
      <c r="I47" s="26">
        <v>213619.0</v>
      </c>
      <c r="J47" s="31">
        <f t="shared" si="20"/>
        <v>26.12309536</v>
      </c>
      <c r="K47" s="26">
        <v>335259.0</v>
      </c>
      <c r="L47" s="31">
        <f t="shared" si="21"/>
        <v>40.99823905</v>
      </c>
      <c r="M47" s="26">
        <v>446313.0</v>
      </c>
      <c r="N47" s="31">
        <f t="shared" si="22"/>
        <v>54.57883924</v>
      </c>
      <c r="O47" s="26">
        <v>370377.0</v>
      </c>
      <c r="P47" s="31">
        <f t="shared" si="23"/>
        <v>45.29275809</v>
      </c>
      <c r="Q47" s="26">
        <v>287221.0</v>
      </c>
      <c r="R47" s="31">
        <f t="shared" si="24"/>
        <v>35.12375572</v>
      </c>
      <c r="S47" s="26">
        <v>250527.0</v>
      </c>
      <c r="T47" s="31">
        <f t="shared" si="25"/>
        <v>30.63651038</v>
      </c>
      <c r="U47" s="26">
        <v>258648.0</v>
      </c>
      <c r="V47" s="31">
        <f t="shared" si="26"/>
        <v>31.62961332</v>
      </c>
      <c r="W47" s="26">
        <v>244723.0</v>
      </c>
      <c r="X47" s="31">
        <f t="shared" si="27"/>
        <v>29.92674933</v>
      </c>
      <c r="Y47" s="26">
        <v>124974.0</v>
      </c>
      <c r="Z47" s="31">
        <f t="shared" si="28"/>
        <v>15.28285274</v>
      </c>
      <c r="AA47" s="26">
        <v>76634.0</v>
      </c>
      <c r="AB47" s="31">
        <f t="shared" si="29"/>
        <v>9.371438354</v>
      </c>
      <c r="AC47" s="26">
        <v>54950.0</v>
      </c>
      <c r="AD47" s="31">
        <f t="shared" si="30"/>
        <v>6.719739771</v>
      </c>
      <c r="AE47" s="41"/>
      <c r="AF47" s="41"/>
    </row>
    <row r="48" ht="15.75" customHeight="1">
      <c r="A48" s="25" t="s">
        <v>60</v>
      </c>
      <c r="B48" s="26">
        <v>464470.0</v>
      </c>
      <c r="C48" s="26">
        <v>225143.0</v>
      </c>
      <c r="D48" s="31">
        <f t="shared" si="17"/>
        <v>48.47309837</v>
      </c>
      <c r="E48" s="26">
        <v>340531.0</v>
      </c>
      <c r="F48" s="31">
        <f t="shared" si="18"/>
        <v>73.31603763</v>
      </c>
      <c r="G48" s="26">
        <v>201495.0</v>
      </c>
      <c r="H48" s="31">
        <f t="shared" si="19"/>
        <v>43.38170388</v>
      </c>
      <c r="I48" s="26">
        <v>153885.0</v>
      </c>
      <c r="J48" s="31">
        <f t="shared" si="20"/>
        <v>33.13131096</v>
      </c>
      <c r="K48" s="26">
        <v>171799.0</v>
      </c>
      <c r="L48" s="31">
        <f t="shared" si="21"/>
        <v>36.98818008</v>
      </c>
      <c r="M48" s="26">
        <v>221226.0</v>
      </c>
      <c r="N48" s="31">
        <f t="shared" si="22"/>
        <v>47.62977157</v>
      </c>
      <c r="O48" s="26">
        <v>174054.0</v>
      </c>
      <c r="P48" s="31">
        <f t="shared" si="23"/>
        <v>37.47367968</v>
      </c>
      <c r="Q48" s="26">
        <v>109504.0</v>
      </c>
      <c r="R48" s="31">
        <f t="shared" si="24"/>
        <v>23.57611902</v>
      </c>
      <c r="S48" s="26">
        <v>197064.0</v>
      </c>
      <c r="T48" s="31">
        <f t="shared" si="25"/>
        <v>42.42771331</v>
      </c>
      <c r="U48" s="26">
        <v>216439.0</v>
      </c>
      <c r="V48" s="31">
        <f t="shared" si="26"/>
        <v>46.5991345</v>
      </c>
      <c r="W48" s="26">
        <v>179465.0</v>
      </c>
      <c r="X48" s="31">
        <f t="shared" si="27"/>
        <v>38.63866342</v>
      </c>
      <c r="Y48" s="26">
        <v>71815.0</v>
      </c>
      <c r="Z48" s="31">
        <f t="shared" si="28"/>
        <v>15.46170904</v>
      </c>
      <c r="AA48" s="26">
        <v>38884.0</v>
      </c>
      <c r="AB48" s="31">
        <f t="shared" si="29"/>
        <v>8.371692467</v>
      </c>
      <c r="AC48" s="26">
        <v>54086.0</v>
      </c>
      <c r="AD48" s="31">
        <f t="shared" si="30"/>
        <v>11.64467027</v>
      </c>
      <c r="AE48" s="41"/>
      <c r="AF48" s="41"/>
    </row>
    <row r="49" ht="15.75" customHeight="1">
      <c r="A49" s="25" t="s">
        <v>63</v>
      </c>
      <c r="B49" s="26">
        <v>499052.0</v>
      </c>
      <c r="C49" s="26">
        <v>350588.0</v>
      </c>
      <c r="D49" s="31">
        <f t="shared" si="17"/>
        <v>70.25079551</v>
      </c>
      <c r="E49" s="26">
        <v>408268.0</v>
      </c>
      <c r="F49" s="31">
        <f t="shared" si="18"/>
        <v>81.80870931</v>
      </c>
      <c r="G49" s="26">
        <v>256700.0</v>
      </c>
      <c r="H49" s="31">
        <f t="shared" si="19"/>
        <v>51.43752555</v>
      </c>
      <c r="I49" s="26">
        <v>200159.0</v>
      </c>
      <c r="J49" s="31">
        <f t="shared" si="20"/>
        <v>40.10784447</v>
      </c>
      <c r="K49" s="26">
        <v>227204.0</v>
      </c>
      <c r="L49" s="31">
        <f t="shared" si="21"/>
        <v>45.52711942</v>
      </c>
      <c r="M49" s="26">
        <v>231532.0</v>
      </c>
      <c r="N49" s="31">
        <f t="shared" si="22"/>
        <v>46.39436371</v>
      </c>
      <c r="O49" s="26">
        <v>249385.0</v>
      </c>
      <c r="P49" s="31">
        <f t="shared" si="23"/>
        <v>49.97174643</v>
      </c>
      <c r="Q49" s="26">
        <v>253769.0</v>
      </c>
      <c r="R49" s="31">
        <f t="shared" si="24"/>
        <v>50.850212</v>
      </c>
      <c r="S49" s="26">
        <v>218665.0</v>
      </c>
      <c r="T49" s="31">
        <f t="shared" si="25"/>
        <v>43.81607528</v>
      </c>
      <c r="U49" s="26">
        <v>207737.0</v>
      </c>
      <c r="V49" s="31">
        <f t="shared" si="26"/>
        <v>41.62632351</v>
      </c>
      <c r="W49" s="26">
        <v>184231.0</v>
      </c>
      <c r="X49" s="31">
        <f t="shared" si="27"/>
        <v>36.9161931</v>
      </c>
      <c r="Y49" s="26">
        <v>138771.0</v>
      </c>
      <c r="Z49" s="31">
        <f t="shared" si="28"/>
        <v>27.80692192</v>
      </c>
      <c r="AA49" s="26">
        <v>56347.0</v>
      </c>
      <c r="AB49" s="31">
        <f t="shared" si="29"/>
        <v>11.29080737</v>
      </c>
      <c r="AC49" s="26">
        <v>43977.0</v>
      </c>
      <c r="AD49" s="31">
        <f t="shared" si="30"/>
        <v>8.812107756</v>
      </c>
      <c r="AE49" s="41"/>
      <c r="AF49" s="41"/>
    </row>
    <row r="50" ht="15.75" customHeight="1">
      <c r="A50" s="25" t="s">
        <v>64</v>
      </c>
      <c r="B50" s="26">
        <v>282954.0</v>
      </c>
      <c r="C50" s="26">
        <v>189330.0</v>
      </c>
      <c r="D50" s="31">
        <f t="shared" si="17"/>
        <v>66.91193622</v>
      </c>
      <c r="E50" s="26">
        <v>214522.0</v>
      </c>
      <c r="F50" s="31">
        <f t="shared" si="18"/>
        <v>75.81515017</v>
      </c>
      <c r="G50" s="26">
        <v>117963.0</v>
      </c>
      <c r="H50" s="31">
        <f t="shared" si="19"/>
        <v>41.68981531</v>
      </c>
      <c r="I50" s="26">
        <v>87258.0</v>
      </c>
      <c r="J50" s="31">
        <f t="shared" si="20"/>
        <v>30.83822812</v>
      </c>
      <c r="K50" s="26">
        <v>128316.0</v>
      </c>
      <c r="L50" s="31">
        <f t="shared" si="21"/>
        <v>45.34871393</v>
      </c>
      <c r="M50" s="26">
        <v>122605.0</v>
      </c>
      <c r="N50" s="31">
        <f t="shared" si="22"/>
        <v>43.33036465</v>
      </c>
      <c r="O50" s="26">
        <v>118022.0</v>
      </c>
      <c r="P50" s="31">
        <f t="shared" si="23"/>
        <v>41.71066675</v>
      </c>
      <c r="Q50" s="26">
        <v>106366.0</v>
      </c>
      <c r="R50" s="31">
        <f t="shared" si="24"/>
        <v>37.59126925</v>
      </c>
      <c r="S50" s="26">
        <v>167353.0</v>
      </c>
      <c r="T50" s="31">
        <f t="shared" si="25"/>
        <v>59.14494936</v>
      </c>
      <c r="U50" s="26">
        <v>154196.0</v>
      </c>
      <c r="V50" s="31">
        <f t="shared" si="26"/>
        <v>54.49507694</v>
      </c>
      <c r="W50" s="26">
        <v>139160.0</v>
      </c>
      <c r="X50" s="31">
        <f t="shared" si="27"/>
        <v>49.18113898</v>
      </c>
      <c r="Y50" s="26">
        <v>77953.0</v>
      </c>
      <c r="Z50" s="31">
        <f t="shared" si="28"/>
        <v>27.54970773</v>
      </c>
      <c r="AA50" s="26">
        <v>27966.0</v>
      </c>
      <c r="AB50" s="31">
        <f t="shared" si="29"/>
        <v>9.883585318</v>
      </c>
      <c r="AC50" s="26">
        <v>30191.0</v>
      </c>
      <c r="AD50" s="31">
        <f t="shared" si="30"/>
        <v>10.66993222</v>
      </c>
      <c r="AE50" s="41"/>
      <c r="AF50" s="41"/>
    </row>
    <row r="51" ht="15.75" customHeight="1">
      <c r="A51" s="25" t="s">
        <v>65</v>
      </c>
      <c r="B51" s="26">
        <v>209771.0</v>
      </c>
      <c r="C51" s="26">
        <v>107639.0</v>
      </c>
      <c r="D51" s="31">
        <f t="shared" si="17"/>
        <v>51.31262186</v>
      </c>
      <c r="E51" s="26">
        <v>150623.0</v>
      </c>
      <c r="F51" s="31">
        <f t="shared" si="18"/>
        <v>71.80353814</v>
      </c>
      <c r="G51" s="26">
        <v>35426.0</v>
      </c>
      <c r="H51" s="31">
        <f t="shared" si="19"/>
        <v>16.88793971</v>
      </c>
      <c r="I51" s="26">
        <v>38888.0</v>
      </c>
      <c r="J51" s="31">
        <f t="shared" si="20"/>
        <v>18.53831082</v>
      </c>
      <c r="K51" s="26">
        <v>68118.0</v>
      </c>
      <c r="L51" s="31">
        <f t="shared" si="21"/>
        <v>32.4725534</v>
      </c>
      <c r="M51" s="26">
        <v>96713.0</v>
      </c>
      <c r="N51" s="31">
        <f t="shared" si="22"/>
        <v>46.10408493</v>
      </c>
      <c r="O51" s="26">
        <v>83938.0</v>
      </c>
      <c r="P51" s="31">
        <f t="shared" si="23"/>
        <v>40.01411063</v>
      </c>
      <c r="Q51" s="26">
        <v>59540.0</v>
      </c>
      <c r="R51" s="31">
        <f t="shared" si="24"/>
        <v>28.3833323</v>
      </c>
      <c r="S51" s="26">
        <v>22848.0</v>
      </c>
      <c r="T51" s="31">
        <f t="shared" si="25"/>
        <v>10.89187733</v>
      </c>
      <c r="U51" s="26">
        <v>30278.0</v>
      </c>
      <c r="V51" s="31">
        <f t="shared" si="26"/>
        <v>14.43383499</v>
      </c>
      <c r="W51" s="26">
        <v>27678.0</v>
      </c>
      <c r="X51" s="31">
        <f t="shared" si="27"/>
        <v>13.19438817</v>
      </c>
      <c r="Y51" s="26">
        <v>30350.0</v>
      </c>
      <c r="Z51" s="31">
        <f t="shared" si="28"/>
        <v>14.46815813</v>
      </c>
      <c r="AA51" s="26">
        <v>18078.0</v>
      </c>
      <c r="AB51" s="31">
        <f t="shared" si="29"/>
        <v>8.617969119</v>
      </c>
      <c r="AC51" s="26">
        <v>13887.0</v>
      </c>
      <c r="AD51" s="31">
        <f t="shared" si="30"/>
        <v>6.620076178</v>
      </c>
      <c r="AE51" s="41"/>
      <c r="AF51" s="41"/>
    </row>
    <row r="52" ht="15.75" customHeight="1">
      <c r="A52" s="28"/>
      <c r="B52" s="28"/>
      <c r="C52" s="28"/>
      <c r="D52" s="28"/>
      <c r="E52" s="28"/>
      <c r="F52" s="28"/>
      <c r="G52" s="28"/>
      <c r="H52" s="28"/>
      <c r="I52" s="28"/>
      <c r="J52" s="28"/>
      <c r="K52" s="28"/>
      <c r="L52" s="28"/>
      <c r="M52" s="28"/>
      <c r="N52" s="28"/>
      <c r="O52" s="28"/>
      <c r="P52" s="28"/>
      <c r="Q52" s="28"/>
      <c r="R52" s="28"/>
      <c r="S52" s="28"/>
      <c r="T52" s="28"/>
      <c r="U52" s="28"/>
      <c r="V52" s="28"/>
      <c r="W52" s="28"/>
      <c r="X52" s="28"/>
      <c r="Y52" s="28"/>
      <c r="Z52" s="28"/>
      <c r="AA52" s="28"/>
      <c r="AB52" s="28"/>
      <c r="AC52" s="28"/>
      <c r="AD52" s="28"/>
    </row>
    <row r="53" ht="15.75" customHeight="1">
      <c r="A53" s="9"/>
      <c r="B53" s="9"/>
      <c r="C53" s="9"/>
      <c r="D53" s="9"/>
      <c r="E53" s="9"/>
      <c r="F53" s="9"/>
      <c r="G53" s="9"/>
      <c r="H53" s="9"/>
      <c r="I53" s="9"/>
      <c r="J53" s="9"/>
      <c r="K53" s="9"/>
      <c r="L53" s="9"/>
      <c r="M53" s="9"/>
      <c r="N53" s="9"/>
      <c r="O53" s="9"/>
      <c r="P53" s="9"/>
      <c r="Q53" s="9"/>
      <c r="R53" s="9"/>
      <c r="S53" s="9"/>
      <c r="T53" s="9"/>
      <c r="U53" s="9"/>
      <c r="V53" s="9"/>
      <c r="W53" s="9"/>
      <c r="X53" s="9"/>
    </row>
    <row r="54" ht="15.75" customHeight="1">
      <c r="A54" s="29" t="s">
        <v>69</v>
      </c>
      <c r="B54" s="29"/>
      <c r="C54" s="29"/>
      <c r="D54" s="29"/>
      <c r="E54" s="29"/>
      <c r="F54" s="29"/>
      <c r="G54" s="29"/>
      <c r="H54" s="29"/>
      <c r="I54" s="29"/>
      <c r="J54" s="29"/>
      <c r="K54" s="29"/>
      <c r="L54" s="29"/>
      <c r="M54" s="29"/>
      <c r="N54" s="29"/>
      <c r="O54" s="29"/>
      <c r="P54" s="29"/>
      <c r="Q54" s="29"/>
      <c r="R54" s="29"/>
      <c r="S54" s="29"/>
      <c r="T54" s="29"/>
      <c r="U54" s="29"/>
      <c r="V54" s="29"/>
      <c r="W54" s="29"/>
      <c r="X54" s="29"/>
      <c r="Y54" s="29"/>
      <c r="Z54" s="29"/>
      <c r="AA54" s="30"/>
      <c r="AB54" s="30"/>
      <c r="AC54" s="30"/>
      <c r="AD54" s="30"/>
    </row>
    <row r="55" ht="15.75" customHeight="1">
      <c r="A55" s="29" t="s">
        <v>72</v>
      </c>
      <c r="B55" s="29"/>
      <c r="C55" s="29"/>
      <c r="D55" s="29"/>
      <c r="E55" s="29"/>
      <c r="F55" s="29"/>
      <c r="G55" s="29"/>
      <c r="H55" s="29"/>
      <c r="I55" s="29"/>
      <c r="J55" s="29"/>
      <c r="K55" s="29"/>
      <c r="L55" s="29"/>
      <c r="M55" s="29"/>
      <c r="N55" s="29"/>
      <c r="O55" s="29"/>
      <c r="P55" s="29"/>
      <c r="Q55" s="29"/>
      <c r="R55" s="29"/>
      <c r="S55" s="29"/>
      <c r="T55" s="29"/>
      <c r="U55" s="29"/>
      <c r="V55" s="29"/>
      <c r="W55" s="29"/>
      <c r="X55" s="29"/>
      <c r="Y55" s="29"/>
      <c r="Z55" s="29"/>
      <c r="AA55" s="30"/>
      <c r="AB55" s="30"/>
      <c r="AC55" s="30"/>
      <c r="AD55" s="30"/>
    </row>
    <row r="56" ht="15.75" customHeight="1">
      <c r="A56" s="29" t="s">
        <v>255</v>
      </c>
      <c r="B56" s="29"/>
      <c r="C56" s="29"/>
      <c r="D56" s="29"/>
      <c r="E56" s="29"/>
      <c r="F56" s="29"/>
      <c r="G56" s="29"/>
      <c r="H56" s="29"/>
      <c r="I56" s="29"/>
      <c r="J56" s="29"/>
      <c r="K56" s="29"/>
      <c r="L56" s="29"/>
      <c r="M56" s="29"/>
      <c r="N56" s="29"/>
      <c r="O56" s="29"/>
      <c r="P56" s="29"/>
      <c r="Q56" s="29"/>
      <c r="R56" s="29"/>
      <c r="S56" s="29"/>
      <c r="T56" s="29"/>
      <c r="U56" s="29"/>
      <c r="V56" s="29"/>
      <c r="W56" s="29"/>
      <c r="X56" s="29"/>
      <c r="Y56" s="29"/>
      <c r="Z56" s="29"/>
      <c r="AA56" s="30"/>
      <c r="AB56" s="30"/>
      <c r="AC56" s="30"/>
      <c r="AD56" s="30"/>
    </row>
    <row r="57" ht="15.75" customHeight="1">
      <c r="A57" s="29" t="s">
        <v>257</v>
      </c>
      <c r="B57" s="29"/>
      <c r="C57" s="29"/>
      <c r="D57" s="29"/>
      <c r="E57" s="29"/>
      <c r="F57" s="29"/>
      <c r="G57" s="29"/>
      <c r="H57" s="29"/>
      <c r="I57" s="29"/>
      <c r="J57" s="29"/>
      <c r="K57" s="29"/>
      <c r="L57" s="29"/>
      <c r="M57" s="29"/>
      <c r="N57" s="29"/>
      <c r="O57" s="29"/>
      <c r="P57" s="29"/>
      <c r="Q57" s="29"/>
      <c r="R57" s="29"/>
      <c r="S57" s="29"/>
      <c r="T57" s="29"/>
      <c r="U57" s="29"/>
      <c r="V57" s="29"/>
      <c r="W57" s="29"/>
      <c r="X57" s="29"/>
      <c r="Y57" s="29"/>
      <c r="Z57" s="29"/>
      <c r="AA57" s="30"/>
      <c r="AB57" s="30"/>
      <c r="AC57" s="30"/>
      <c r="AD57" s="30"/>
    </row>
    <row r="58" ht="15.75" customHeight="1">
      <c r="A58" s="32" t="s">
        <v>76</v>
      </c>
    </row>
    <row r="59" ht="15.75" customHeight="1">
      <c r="A59" s="32"/>
    </row>
    <row r="60" ht="15.75" customHeight="1">
      <c r="D60" s="34"/>
      <c r="F60" s="34"/>
      <c r="H60" s="34"/>
      <c r="J60" s="34"/>
      <c r="L60" s="34"/>
      <c r="N60" s="34"/>
      <c r="P60" s="34"/>
      <c r="R60" s="34"/>
      <c r="T60" s="34"/>
      <c r="V60" s="34"/>
      <c r="X60" s="34"/>
      <c r="Z60" s="34"/>
      <c r="AB60" s="34"/>
      <c r="AD60" s="34"/>
    </row>
    <row r="61" ht="15.75" customHeight="1">
      <c r="D61" s="34"/>
    </row>
    <row r="62" ht="15.75" customHeight="1">
      <c r="D62" s="34"/>
    </row>
    <row r="63" ht="15.75" customHeight="1">
      <c r="D63" s="34"/>
    </row>
    <row r="64" ht="15.75" customHeight="1">
      <c r="D64" s="34"/>
    </row>
    <row r="65" ht="15.75" customHeight="1">
      <c r="D65" s="34"/>
    </row>
    <row r="66" ht="15.75" customHeight="1">
      <c r="D66" s="34"/>
    </row>
    <row r="67" ht="15.75" customHeight="1">
      <c r="D67" s="34"/>
    </row>
    <row r="68" ht="15.75" customHeight="1">
      <c r="D68" s="34"/>
    </row>
    <row r="69" ht="15.75" customHeight="1">
      <c r="D69" s="34"/>
    </row>
    <row r="70" ht="15.75" customHeight="1">
      <c r="D70" s="34"/>
    </row>
    <row r="71" ht="15.75" customHeight="1">
      <c r="D71" s="34"/>
    </row>
    <row r="72" ht="15.75" customHeight="1">
      <c r="D72" s="34"/>
    </row>
    <row r="73" ht="15.75" customHeight="1">
      <c r="D73" s="34"/>
    </row>
    <row r="74" ht="15.75" customHeight="1">
      <c r="D74" s="34"/>
    </row>
    <row r="75" ht="15.75" customHeight="1">
      <c r="D75" s="34"/>
    </row>
    <row r="76" ht="15.75" customHeight="1">
      <c r="D76" s="34"/>
    </row>
    <row r="77" ht="15.75" customHeight="1">
      <c r="D77" s="34"/>
    </row>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1">
    <mergeCell ref="E31:F31"/>
    <mergeCell ref="G31:H31"/>
    <mergeCell ref="I31:J31"/>
    <mergeCell ref="K31:L31"/>
    <mergeCell ref="M31:N31"/>
    <mergeCell ref="O31:P31"/>
    <mergeCell ref="Q31:R31"/>
    <mergeCell ref="S31:T31"/>
    <mergeCell ref="U31:V31"/>
    <mergeCell ref="W31:X31"/>
    <mergeCell ref="Y31:Z31"/>
    <mergeCell ref="AA31:AB31"/>
    <mergeCell ref="AC31:AD31"/>
    <mergeCell ref="A58:AD58"/>
    <mergeCell ref="A59:AD59"/>
    <mergeCell ref="G6:H6"/>
    <mergeCell ref="I6:J6"/>
    <mergeCell ref="A29:A32"/>
    <mergeCell ref="B29:AD29"/>
    <mergeCell ref="B30:B32"/>
    <mergeCell ref="C30:AD30"/>
    <mergeCell ref="C31:D31"/>
    <mergeCell ref="K6:L6"/>
    <mergeCell ref="M6:N6"/>
    <mergeCell ref="O6:P6"/>
    <mergeCell ref="Q6:R6"/>
    <mergeCell ref="S6:T6"/>
    <mergeCell ref="U6:V6"/>
    <mergeCell ref="W6:X6"/>
    <mergeCell ref="Y6:Z6"/>
    <mergeCell ref="AA6:AB6"/>
    <mergeCell ref="AC6:AD6"/>
    <mergeCell ref="AE6:AF6"/>
    <mergeCell ref="AG6:AH6"/>
    <mergeCell ref="A2:X2"/>
    <mergeCell ref="A4:A7"/>
    <mergeCell ref="B4:AH4"/>
    <mergeCell ref="B5:B7"/>
    <mergeCell ref="C5:AH5"/>
    <mergeCell ref="C6:D6"/>
    <mergeCell ref="E6:F6"/>
  </mergeCells>
  <hyperlinks>
    <hyperlink display="BACK TO LIST" location="LIST!A1" ref="A1"/>
  </hyperlinks>
  <printOptions/>
  <pageMargins bottom="0.75" footer="0.0" header="0.0" left="0.7" right="0.7" top="0.75"/>
  <pageSetup paperSize="9" orientation="portrait"/>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9"/>
    <pageSetUpPr/>
  </sheetPr>
  <sheetViews>
    <sheetView workbookViewId="0"/>
  </sheetViews>
  <sheetFormatPr customHeight="1" defaultColWidth="12.63" defaultRowHeight="15.0"/>
  <cols>
    <col customWidth="1" min="1" max="1" width="39.0"/>
    <col customWidth="1" min="2" max="7" width="14.0"/>
    <col customWidth="1" min="8" max="12" width="8.63"/>
    <col customWidth="1" min="13" max="13" width="10.63"/>
    <col customWidth="1" min="14" max="14" width="14.25"/>
    <col customWidth="1" min="15" max="26" width="8.63"/>
  </cols>
  <sheetData>
    <row r="1">
      <c r="A1" s="5" t="s">
        <v>1</v>
      </c>
      <c r="B1" s="5"/>
      <c r="C1" s="5"/>
      <c r="D1" s="5"/>
    </row>
    <row r="2" ht="15.0" customHeight="1">
      <c r="A2" s="6" t="s">
        <v>230</v>
      </c>
      <c r="B2" s="6"/>
      <c r="C2" s="6"/>
      <c r="D2" s="6"/>
      <c r="E2" s="7"/>
      <c r="F2" s="7"/>
      <c r="G2" s="7"/>
    </row>
    <row r="3">
      <c r="A3" s="8"/>
      <c r="B3" s="8"/>
      <c r="C3" s="8"/>
      <c r="D3" s="8"/>
      <c r="E3" s="9"/>
      <c r="F3" s="9"/>
      <c r="G3" s="9"/>
    </row>
    <row r="4">
      <c r="A4" s="8"/>
      <c r="B4" s="8"/>
      <c r="C4" s="8"/>
      <c r="D4" s="8"/>
      <c r="E4" s="9"/>
      <c r="F4" s="9"/>
      <c r="G4" s="9"/>
    </row>
    <row r="5">
      <c r="A5" s="10" t="s">
        <v>13</v>
      </c>
      <c r="B5" s="12">
        <v>2019.0</v>
      </c>
      <c r="C5" s="14"/>
      <c r="D5" s="15"/>
      <c r="E5" s="12">
        <v>2024.0</v>
      </c>
      <c r="F5" s="14"/>
      <c r="G5" s="15"/>
    </row>
    <row r="6" ht="31.5" customHeight="1">
      <c r="A6" s="17"/>
      <c r="B6" s="21" t="s">
        <v>26</v>
      </c>
      <c r="C6" s="46" t="s">
        <v>231</v>
      </c>
      <c r="D6" s="15"/>
      <c r="E6" s="21" t="s">
        <v>26</v>
      </c>
      <c r="F6" s="46" t="s">
        <v>231</v>
      </c>
      <c r="G6" s="15"/>
    </row>
    <row r="7" ht="30.0" customHeight="1">
      <c r="A7" s="18"/>
      <c r="B7" s="18"/>
      <c r="C7" s="24" t="s">
        <v>37</v>
      </c>
      <c r="D7" s="24" t="s">
        <v>39</v>
      </c>
      <c r="E7" s="18"/>
      <c r="F7" s="24" t="s">
        <v>37</v>
      </c>
      <c r="G7" s="24" t="s">
        <v>39</v>
      </c>
    </row>
    <row r="8">
      <c r="A8" s="16"/>
      <c r="B8" s="16"/>
      <c r="C8" s="16"/>
      <c r="D8" s="16"/>
      <c r="E8" s="20"/>
      <c r="F8" s="20"/>
      <c r="G8" s="20"/>
    </row>
    <row r="9">
      <c r="A9" s="22" t="s">
        <v>33</v>
      </c>
      <c r="B9" s="23">
        <f>'Estimated Totals'!B7</f>
        <v>23360960</v>
      </c>
      <c r="C9" s="23">
        <v>4123881.0</v>
      </c>
      <c r="D9" s="27">
        <f t="shared" ref="D9:D26" si="1">(C9/$B9)*100</f>
        <v>17.65287471</v>
      </c>
      <c r="E9" s="23">
        <v>2.7793884E7</v>
      </c>
      <c r="F9" s="23">
        <v>1.3555873E7</v>
      </c>
      <c r="G9" s="27">
        <f t="shared" ref="G9:G26" si="2">(F9/$E9)*100</f>
        <v>48.77286312</v>
      </c>
      <c r="I9" s="52"/>
      <c r="J9" s="52"/>
      <c r="M9" s="47"/>
      <c r="N9" s="47"/>
    </row>
    <row r="10">
      <c r="A10" s="25" t="s">
        <v>38</v>
      </c>
      <c r="B10" s="26">
        <f>'Estimated Totals'!B8</f>
        <v>3009545</v>
      </c>
      <c r="C10" s="26">
        <v>1000671.0</v>
      </c>
      <c r="D10" s="31">
        <f t="shared" si="1"/>
        <v>33.24990987</v>
      </c>
      <c r="E10" s="26">
        <v>3667731.0</v>
      </c>
      <c r="F10" s="26">
        <v>2518277.0</v>
      </c>
      <c r="G10" s="31">
        <f t="shared" si="2"/>
        <v>68.66035159</v>
      </c>
    </row>
    <row r="11">
      <c r="A11" s="25" t="s">
        <v>41</v>
      </c>
      <c r="B11" s="26">
        <f>'Estimated Totals'!B9</f>
        <v>388188</v>
      </c>
      <c r="C11" s="26">
        <v>115495.0</v>
      </c>
      <c r="D11" s="31">
        <f t="shared" si="1"/>
        <v>29.7523365</v>
      </c>
      <c r="E11" s="26">
        <v>468413.0</v>
      </c>
      <c r="F11" s="26">
        <v>249276.0</v>
      </c>
      <c r="G11" s="31">
        <f t="shared" si="2"/>
        <v>53.21713958</v>
      </c>
    </row>
    <row r="12">
      <c r="A12" s="25" t="s">
        <v>43</v>
      </c>
      <c r="B12" s="26">
        <f>'Estimated Totals'!B10</f>
        <v>1250337</v>
      </c>
      <c r="C12" s="26">
        <v>224947.0</v>
      </c>
      <c r="D12" s="31">
        <f t="shared" si="1"/>
        <v>17.99090965</v>
      </c>
      <c r="E12" s="26">
        <v>1316881.0</v>
      </c>
      <c r="F12" s="26">
        <v>766431.0</v>
      </c>
      <c r="G12" s="31">
        <f t="shared" si="2"/>
        <v>58.20047521</v>
      </c>
    </row>
    <row r="13">
      <c r="A13" s="25" t="s">
        <v>44</v>
      </c>
      <c r="B13" s="26">
        <f>'Estimated Totals'!B11</f>
        <v>855893</v>
      </c>
      <c r="C13" s="26">
        <v>154330.0</v>
      </c>
      <c r="D13" s="31">
        <f t="shared" si="1"/>
        <v>18.03145954</v>
      </c>
      <c r="E13" s="26">
        <v>934252.0</v>
      </c>
      <c r="F13" s="26">
        <v>520744.0</v>
      </c>
      <c r="G13" s="31">
        <f t="shared" si="2"/>
        <v>55.73913676</v>
      </c>
    </row>
    <row r="14">
      <c r="A14" s="25" t="s">
        <v>46</v>
      </c>
      <c r="B14" s="26">
        <f>'Estimated Totals'!B12</f>
        <v>2823200</v>
      </c>
      <c r="C14" s="26">
        <v>663095.0</v>
      </c>
      <c r="D14" s="31">
        <f t="shared" si="1"/>
        <v>23.48735477</v>
      </c>
      <c r="E14" s="26">
        <v>3161851.0</v>
      </c>
      <c r="F14" s="26">
        <v>1939705.0</v>
      </c>
      <c r="G14" s="31">
        <f t="shared" si="2"/>
        <v>61.34713495</v>
      </c>
    </row>
    <row r="15">
      <c r="A15" s="25" t="s">
        <v>48</v>
      </c>
      <c r="B15" s="26">
        <f>'Estimated Totals'!B13</f>
        <v>3486186</v>
      </c>
      <c r="C15" s="26">
        <v>844147.0</v>
      </c>
      <c r="D15" s="31">
        <f t="shared" si="1"/>
        <v>24.21405513</v>
      </c>
      <c r="E15" s="26">
        <v>4369198.0</v>
      </c>
      <c r="F15" s="26">
        <v>2323365.0</v>
      </c>
      <c r="G15" s="31">
        <f t="shared" si="2"/>
        <v>53.17600621</v>
      </c>
    </row>
    <row r="16">
      <c r="A16" s="25" t="s">
        <v>50</v>
      </c>
      <c r="B16" s="26">
        <f>'Estimated Totals'!B14</f>
        <v>686916</v>
      </c>
      <c r="C16" s="26">
        <v>52140.0</v>
      </c>
      <c r="D16" s="31">
        <f t="shared" si="1"/>
        <v>7.59044774</v>
      </c>
      <c r="E16" s="26">
        <v>828498.0</v>
      </c>
      <c r="F16" s="26">
        <v>256021.0</v>
      </c>
      <c r="G16" s="31">
        <f t="shared" si="2"/>
        <v>30.90182475</v>
      </c>
    </row>
    <row r="17">
      <c r="A17" s="25" t="s">
        <v>51</v>
      </c>
      <c r="B17" s="26">
        <f>'Estimated Totals'!B15</f>
        <v>1030986</v>
      </c>
      <c r="C17" s="26">
        <v>75063.0</v>
      </c>
      <c r="D17" s="31">
        <f t="shared" si="1"/>
        <v>7.280700223</v>
      </c>
      <c r="E17" s="26">
        <v>1384033.0</v>
      </c>
      <c r="F17" s="26">
        <v>564663.0</v>
      </c>
      <c r="G17" s="31">
        <f t="shared" si="2"/>
        <v>40.79837692</v>
      </c>
    </row>
    <row r="18">
      <c r="A18" s="25" t="s">
        <v>53</v>
      </c>
      <c r="B18" s="26">
        <f>'Estimated Totals'!B16</f>
        <v>1705556</v>
      </c>
      <c r="C18" s="26">
        <v>177260.0</v>
      </c>
      <c r="D18" s="31">
        <f t="shared" si="1"/>
        <v>10.39309175</v>
      </c>
      <c r="E18" s="26">
        <v>2040922.0</v>
      </c>
      <c r="F18" s="26">
        <v>829005.0</v>
      </c>
      <c r="G18" s="31">
        <f t="shared" si="2"/>
        <v>40.61914174</v>
      </c>
    </row>
    <row r="19">
      <c r="A19" s="25" t="s">
        <v>54</v>
      </c>
      <c r="B19" s="26">
        <f>'Estimated Totals'!B17</f>
        <v>1820052</v>
      </c>
      <c r="C19" s="26">
        <v>186621.0</v>
      </c>
      <c r="D19" s="31">
        <f t="shared" si="1"/>
        <v>10.25360814</v>
      </c>
      <c r="E19" s="26">
        <v>2077216.0</v>
      </c>
      <c r="F19" s="26">
        <v>868012.0</v>
      </c>
      <c r="G19" s="31">
        <f t="shared" si="2"/>
        <v>41.78727682</v>
      </c>
    </row>
    <row r="20">
      <c r="A20" s="25" t="s">
        <v>56</v>
      </c>
      <c r="B20" s="26">
        <f>'Estimated Totals'!B18</f>
        <v>1042723</v>
      </c>
      <c r="C20" s="26">
        <v>173539.0</v>
      </c>
      <c r="D20" s="31">
        <f t="shared" si="1"/>
        <v>16.6428668</v>
      </c>
      <c r="E20" s="26">
        <v>1200913.0</v>
      </c>
      <c r="F20" s="26">
        <v>410873.0</v>
      </c>
      <c r="G20" s="31">
        <f t="shared" si="2"/>
        <v>34.21338598</v>
      </c>
    </row>
    <row r="21" ht="15.75" customHeight="1">
      <c r="A21" s="25" t="s">
        <v>57</v>
      </c>
      <c r="B21" s="26">
        <f>'Estimated Totals'!B19</f>
        <v>743735</v>
      </c>
      <c r="C21" s="26">
        <v>46424.0</v>
      </c>
      <c r="D21" s="31">
        <f t="shared" si="1"/>
        <v>6.242008242</v>
      </c>
      <c r="E21" s="26">
        <v>903490.0</v>
      </c>
      <c r="F21" s="26">
        <v>191638.0</v>
      </c>
      <c r="G21" s="31">
        <f t="shared" si="2"/>
        <v>21.21086011</v>
      </c>
    </row>
    <row r="22" ht="15.75" customHeight="1">
      <c r="A22" s="25" t="s">
        <v>59</v>
      </c>
      <c r="B22" s="26">
        <f>'Estimated Totals'!B20</f>
        <v>1058458</v>
      </c>
      <c r="C22" s="26">
        <v>68753.0</v>
      </c>
      <c r="D22" s="31">
        <f t="shared" si="1"/>
        <v>6.495581308</v>
      </c>
      <c r="E22" s="26">
        <v>1248516.0</v>
      </c>
      <c r="F22" s="26">
        <v>685347.0</v>
      </c>
      <c r="G22" s="31">
        <f t="shared" si="2"/>
        <v>54.89292889</v>
      </c>
    </row>
    <row r="23" ht="15.75" customHeight="1">
      <c r="A23" s="25" t="s">
        <v>60</v>
      </c>
      <c r="B23" s="26">
        <f>'Estimated Totals'!B21</f>
        <v>1273085</v>
      </c>
      <c r="C23" s="26">
        <v>163277.0</v>
      </c>
      <c r="D23" s="31">
        <f t="shared" si="1"/>
        <v>12.82530232</v>
      </c>
      <c r="E23" s="26">
        <v>1492292.0</v>
      </c>
      <c r="F23" s="26">
        <v>497762.0</v>
      </c>
      <c r="G23" s="31">
        <f t="shared" si="2"/>
        <v>33.35553632</v>
      </c>
    </row>
    <row r="24" ht="15.75" customHeight="1">
      <c r="A24" s="25" t="s">
        <v>63</v>
      </c>
      <c r="B24" s="26">
        <f>'Estimated Totals'!B22</f>
        <v>1063239</v>
      </c>
      <c r="C24" s="26">
        <v>108209.0</v>
      </c>
      <c r="D24" s="31">
        <f t="shared" si="1"/>
        <v>10.17729786</v>
      </c>
      <c r="E24" s="26">
        <v>1150631.0</v>
      </c>
      <c r="F24" s="26">
        <v>478737.0</v>
      </c>
      <c r="G24" s="31">
        <f t="shared" si="2"/>
        <v>41.60647506</v>
      </c>
    </row>
    <row r="25" ht="15.75" customHeight="1">
      <c r="A25" s="25" t="s">
        <v>64</v>
      </c>
      <c r="B25" s="26">
        <f>'Estimated Totals'!B23</f>
        <v>601512</v>
      </c>
      <c r="C25" s="26">
        <v>46331.0</v>
      </c>
      <c r="D25" s="31">
        <f t="shared" si="1"/>
        <v>7.702423227</v>
      </c>
      <c r="E25" s="26">
        <v>703005.0</v>
      </c>
      <c r="F25" s="26">
        <v>221347.0</v>
      </c>
      <c r="G25" s="31">
        <f t="shared" si="2"/>
        <v>31.4858358</v>
      </c>
    </row>
    <row r="26" ht="15.75" customHeight="1">
      <c r="A26" s="25" t="s">
        <v>65</v>
      </c>
      <c r="B26" s="26">
        <f>'Estimated Totals'!B24</f>
        <v>521349</v>
      </c>
      <c r="C26" s="26">
        <v>23580.0</v>
      </c>
      <c r="D26" s="31">
        <f t="shared" si="1"/>
        <v>4.522881985</v>
      </c>
      <c r="E26" s="26">
        <v>846042.0</v>
      </c>
      <c r="F26" s="26">
        <v>234671.0</v>
      </c>
      <c r="G26" s="31">
        <f t="shared" si="2"/>
        <v>27.73751185</v>
      </c>
    </row>
    <row r="27" ht="15.75" customHeight="1">
      <c r="A27" s="28"/>
      <c r="B27" s="28"/>
      <c r="C27" s="28"/>
      <c r="D27" s="28"/>
      <c r="E27" s="28"/>
      <c r="F27" s="28"/>
      <c r="G27" s="28"/>
    </row>
    <row r="28" ht="15.75" customHeight="1">
      <c r="A28" s="9"/>
      <c r="B28" s="9"/>
      <c r="C28" s="9"/>
      <c r="D28" s="9"/>
      <c r="E28" s="9"/>
      <c r="F28" s="9"/>
      <c r="G28" s="9"/>
    </row>
    <row r="29" ht="15.75" customHeight="1">
      <c r="A29" s="29" t="s">
        <v>69</v>
      </c>
      <c r="B29" s="29"/>
      <c r="C29" s="29"/>
      <c r="D29" s="29"/>
      <c r="E29" s="29"/>
      <c r="F29" s="29"/>
      <c r="G29" s="29"/>
      <c r="H29" s="29"/>
      <c r="I29" s="29"/>
      <c r="J29" s="30"/>
      <c r="K29" s="30"/>
      <c r="L29" s="30"/>
      <c r="M29" s="30"/>
      <c r="N29" s="30"/>
      <c r="O29" s="30"/>
      <c r="P29" s="30"/>
    </row>
    <row r="30" ht="15.75" customHeight="1">
      <c r="A30" s="29" t="s">
        <v>72</v>
      </c>
      <c r="B30" s="29"/>
      <c r="C30" s="29"/>
      <c r="D30" s="29"/>
      <c r="E30" s="29"/>
      <c r="F30" s="29"/>
      <c r="G30" s="29"/>
      <c r="H30" s="29"/>
      <c r="I30" s="29"/>
      <c r="J30" s="30"/>
      <c r="K30" s="30"/>
      <c r="L30" s="30"/>
      <c r="M30" s="30"/>
      <c r="N30" s="30"/>
      <c r="O30" s="30"/>
      <c r="P30" s="30"/>
    </row>
    <row r="31" ht="15.75" customHeight="1">
      <c r="A31" s="29" t="s">
        <v>250</v>
      </c>
      <c r="B31" s="29"/>
      <c r="C31" s="29"/>
      <c r="D31" s="29"/>
      <c r="E31" s="29"/>
      <c r="F31" s="29"/>
      <c r="G31" s="29"/>
      <c r="H31" s="29"/>
      <c r="I31" s="29"/>
      <c r="J31" s="30"/>
      <c r="K31" s="30"/>
      <c r="L31" s="30"/>
      <c r="M31" s="30"/>
      <c r="N31" s="30"/>
      <c r="O31" s="30"/>
      <c r="P31" s="30"/>
    </row>
    <row r="32" ht="15.75" customHeight="1">
      <c r="A32" s="32" t="s">
        <v>76</v>
      </c>
    </row>
    <row r="33" ht="15.75" customHeight="1">
      <c r="A33" s="32"/>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A32:P32"/>
    <mergeCell ref="A33:P33"/>
    <mergeCell ref="A5:A7"/>
    <mergeCell ref="B5:D5"/>
    <mergeCell ref="E5:G5"/>
    <mergeCell ref="B6:B7"/>
    <mergeCell ref="C6:D6"/>
    <mergeCell ref="E6:E7"/>
    <mergeCell ref="F6:G6"/>
  </mergeCells>
  <hyperlinks>
    <hyperlink display="BACK TO LIST" location="LIST!A1" ref="A1"/>
  </hyperlinks>
  <printOptions/>
  <pageMargins bottom="0.75" footer="0.0" header="0.0" left="0.7" right="0.7" top="0.75"/>
  <pageSetup paperSize="9" orientation="portrait"/>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9"/>
    <pageSetUpPr/>
  </sheetPr>
  <sheetViews>
    <sheetView workbookViewId="0"/>
  </sheetViews>
  <sheetFormatPr customHeight="1" defaultColWidth="12.63" defaultRowHeight="15.0"/>
  <cols>
    <col customWidth="1" min="1" max="1" width="39.0"/>
    <col customWidth="1" min="2" max="12" width="13.38"/>
    <col customWidth="1" min="13" max="25" width="14.0"/>
    <col customWidth="1" min="26" max="26" width="8.63"/>
  </cols>
  <sheetData>
    <row r="1">
      <c r="A1" s="5" t="s">
        <v>1</v>
      </c>
      <c r="B1" s="5"/>
      <c r="C1" s="5"/>
      <c r="D1" s="5"/>
      <c r="E1" s="5"/>
      <c r="F1" s="5"/>
      <c r="G1" s="5"/>
      <c r="H1" s="5"/>
      <c r="I1" s="5"/>
      <c r="J1" s="5"/>
      <c r="K1" s="5"/>
      <c r="L1" s="5"/>
    </row>
    <row r="2" ht="15.0" customHeight="1">
      <c r="A2" s="33" t="s">
        <v>237</v>
      </c>
      <c r="B2" s="33"/>
      <c r="C2" s="33"/>
      <c r="D2" s="33"/>
      <c r="E2" s="33"/>
      <c r="F2" s="33"/>
      <c r="G2" s="33"/>
      <c r="H2" s="33"/>
      <c r="I2" s="33"/>
      <c r="J2" s="33"/>
      <c r="K2" s="33"/>
      <c r="L2" s="33"/>
      <c r="M2" s="7"/>
      <c r="N2" s="7"/>
      <c r="O2" s="7"/>
    </row>
    <row r="3" ht="15.0" customHeight="1">
      <c r="A3" s="33"/>
      <c r="B3" s="33"/>
      <c r="C3" s="33"/>
      <c r="D3" s="33"/>
      <c r="E3" s="33"/>
      <c r="F3" s="33"/>
      <c r="G3" s="33"/>
      <c r="H3" s="33"/>
      <c r="I3" s="33"/>
      <c r="J3" s="33"/>
      <c r="K3" s="33"/>
      <c r="L3" s="33"/>
      <c r="M3" s="7"/>
      <c r="N3" s="7"/>
      <c r="O3" s="7"/>
    </row>
    <row r="4" ht="15.0" customHeight="1">
      <c r="A4" s="10" t="s">
        <v>13</v>
      </c>
      <c r="B4" s="38">
        <v>2019.0</v>
      </c>
      <c r="C4" s="14"/>
      <c r="D4" s="14"/>
      <c r="E4" s="14"/>
      <c r="F4" s="14"/>
      <c r="G4" s="14"/>
      <c r="H4" s="14"/>
      <c r="I4" s="14"/>
      <c r="J4" s="14"/>
      <c r="K4" s="14"/>
      <c r="L4" s="15"/>
      <c r="M4" s="38">
        <v>2024.0</v>
      </c>
      <c r="N4" s="14"/>
      <c r="O4" s="14"/>
      <c r="P4" s="14"/>
      <c r="Q4" s="14"/>
      <c r="R4" s="14"/>
      <c r="S4" s="14"/>
      <c r="T4" s="14"/>
      <c r="U4" s="14"/>
      <c r="V4" s="14"/>
      <c r="W4" s="14"/>
      <c r="X4" s="14"/>
      <c r="Y4" s="15"/>
    </row>
    <row r="5" ht="13.5" customHeight="1">
      <c r="A5" s="17"/>
      <c r="B5" s="21" t="s">
        <v>231</v>
      </c>
      <c r="C5" s="42" t="s">
        <v>244</v>
      </c>
      <c r="D5" s="14"/>
      <c r="E5" s="14"/>
      <c r="F5" s="14"/>
      <c r="G5" s="14"/>
      <c r="H5" s="14"/>
      <c r="I5" s="14"/>
      <c r="J5" s="14"/>
      <c r="K5" s="14"/>
      <c r="L5" s="15"/>
      <c r="M5" s="21" t="s">
        <v>231</v>
      </c>
      <c r="N5" s="42" t="s">
        <v>244</v>
      </c>
      <c r="O5" s="14"/>
      <c r="P5" s="14"/>
      <c r="Q5" s="14"/>
      <c r="R5" s="14"/>
      <c r="S5" s="14"/>
      <c r="T5" s="14"/>
      <c r="U5" s="14"/>
      <c r="V5" s="14"/>
      <c r="W5" s="14"/>
      <c r="X5" s="14"/>
      <c r="Y5" s="15"/>
    </row>
    <row r="6" ht="15.0" customHeight="1">
      <c r="A6" s="17"/>
      <c r="B6" s="17"/>
      <c r="C6" s="13" t="s">
        <v>245</v>
      </c>
      <c r="D6" s="15"/>
      <c r="E6" s="13" t="s">
        <v>246</v>
      </c>
      <c r="F6" s="15"/>
      <c r="G6" s="13" t="s">
        <v>247</v>
      </c>
      <c r="H6" s="15"/>
      <c r="I6" s="13" t="s">
        <v>248</v>
      </c>
      <c r="J6" s="15"/>
      <c r="K6" s="13" t="s">
        <v>170</v>
      </c>
      <c r="L6" s="15"/>
      <c r="M6" s="17"/>
      <c r="N6" s="13" t="s">
        <v>205</v>
      </c>
      <c r="O6" s="15"/>
      <c r="P6" s="13" t="s">
        <v>249</v>
      </c>
      <c r="Q6" s="15"/>
      <c r="R6" s="13" t="s">
        <v>246</v>
      </c>
      <c r="S6" s="15"/>
      <c r="T6" s="13" t="s">
        <v>247</v>
      </c>
      <c r="U6" s="15"/>
      <c r="V6" s="13" t="s">
        <v>248</v>
      </c>
      <c r="W6" s="15"/>
      <c r="X6" s="13" t="s">
        <v>170</v>
      </c>
      <c r="Y6" s="15"/>
    </row>
    <row r="7">
      <c r="A7" s="18"/>
      <c r="B7" s="18"/>
      <c r="C7" s="24" t="s">
        <v>37</v>
      </c>
      <c r="D7" s="24" t="s">
        <v>39</v>
      </c>
      <c r="E7" s="24" t="s">
        <v>37</v>
      </c>
      <c r="F7" s="24" t="s">
        <v>39</v>
      </c>
      <c r="G7" s="24" t="s">
        <v>37</v>
      </c>
      <c r="H7" s="24" t="s">
        <v>39</v>
      </c>
      <c r="I7" s="24" t="s">
        <v>37</v>
      </c>
      <c r="J7" s="24" t="s">
        <v>39</v>
      </c>
      <c r="K7" s="24" t="s">
        <v>37</v>
      </c>
      <c r="L7" s="24" t="s">
        <v>39</v>
      </c>
      <c r="M7" s="18"/>
      <c r="N7" s="24" t="s">
        <v>37</v>
      </c>
      <c r="O7" s="24" t="s">
        <v>39</v>
      </c>
      <c r="P7" s="24" t="s">
        <v>37</v>
      </c>
      <c r="Q7" s="24" t="s">
        <v>39</v>
      </c>
      <c r="R7" s="24" t="s">
        <v>37</v>
      </c>
      <c r="S7" s="24" t="s">
        <v>39</v>
      </c>
      <c r="T7" s="24" t="s">
        <v>37</v>
      </c>
      <c r="U7" s="24" t="s">
        <v>39</v>
      </c>
      <c r="V7" s="24" t="s">
        <v>37</v>
      </c>
      <c r="W7" s="24" t="s">
        <v>39</v>
      </c>
      <c r="X7" s="24" t="s">
        <v>37</v>
      </c>
      <c r="Y7" s="24" t="s">
        <v>39</v>
      </c>
    </row>
    <row r="8">
      <c r="A8" s="16"/>
      <c r="B8" s="16"/>
      <c r="C8" s="16"/>
      <c r="D8" s="16"/>
      <c r="E8" s="16"/>
      <c r="F8" s="16"/>
      <c r="G8" s="16"/>
      <c r="H8" s="16"/>
      <c r="I8" s="16"/>
      <c r="J8" s="16"/>
      <c r="K8" s="16"/>
      <c r="L8" s="16"/>
      <c r="M8" s="20"/>
      <c r="N8" s="20"/>
      <c r="O8" s="20"/>
      <c r="P8" s="20"/>
      <c r="Q8" s="20"/>
      <c r="R8" s="20"/>
      <c r="S8" s="20"/>
      <c r="T8" s="20"/>
      <c r="U8" s="20"/>
      <c r="V8" s="20"/>
      <c r="W8" s="20"/>
      <c r="X8" s="20"/>
      <c r="Y8" s="20"/>
    </row>
    <row r="9">
      <c r="A9" s="22" t="s">
        <v>33</v>
      </c>
      <c r="B9" s="23">
        <f>'c32'!C9</f>
        <v>4123881</v>
      </c>
      <c r="C9" s="23">
        <v>2127825.0</v>
      </c>
      <c r="D9" s="27">
        <f t="shared" ref="D9:D26" si="1">(C9/$B9)*100</f>
        <v>51.59763339</v>
      </c>
      <c r="E9" s="23">
        <v>2737277.0</v>
      </c>
      <c r="F9" s="27">
        <f t="shared" ref="F9:F26" si="2">(E9/$B9)*100</f>
        <v>66.37623637</v>
      </c>
      <c r="G9" s="23">
        <v>3719094.0</v>
      </c>
      <c r="H9" s="27">
        <f t="shared" ref="H9:H26" si="3">(G9/$B9)*100</f>
        <v>90.18431909</v>
      </c>
      <c r="I9" s="23">
        <v>2767617.0</v>
      </c>
      <c r="J9" s="27">
        <f t="shared" ref="J9:J26" si="4">(I9/$B9)*100</f>
        <v>67.1119511</v>
      </c>
      <c r="K9" s="23">
        <v>11096.847564697266</v>
      </c>
      <c r="L9" s="27">
        <f t="shared" ref="L9:L26" si="5">(K9/$B9)*100</f>
        <v>0.2690874825</v>
      </c>
      <c r="M9" s="23">
        <v>1.3555873E7</v>
      </c>
      <c r="N9" s="23">
        <v>4895966.0</v>
      </c>
      <c r="O9" s="27">
        <f t="shared" ref="O9:O26" si="6">(N9/$M9)*100</f>
        <v>36.11693618</v>
      </c>
      <c r="P9" s="23">
        <v>1449842.0</v>
      </c>
      <c r="Q9" s="27">
        <f t="shared" ref="Q9:Q26" si="7">(P9/$M9)*100</f>
        <v>10.69530527</v>
      </c>
      <c r="R9" s="23">
        <v>8242948.0</v>
      </c>
      <c r="S9" s="27">
        <f t="shared" ref="S9:S26" si="8">(R9/$M9)*100</f>
        <v>60.8072088</v>
      </c>
      <c r="T9" s="23">
        <v>1.3265291E7</v>
      </c>
      <c r="U9" s="27">
        <f t="shared" ref="U9:U26" si="9">(T9/$M9)*100</f>
        <v>97.85641249</v>
      </c>
      <c r="V9" s="23">
        <v>1.1750129E7</v>
      </c>
      <c r="W9" s="27">
        <f t="shared" ref="W9:W26" si="10">(V9/$M9)*100</f>
        <v>86.67924965</v>
      </c>
      <c r="X9" s="23">
        <v>6413.0</v>
      </c>
      <c r="Y9" s="27" t="s">
        <v>251</v>
      </c>
      <c r="Z9" s="41"/>
    </row>
    <row r="10">
      <c r="A10" s="25" t="s">
        <v>38</v>
      </c>
      <c r="B10" s="26">
        <f>'c32'!C10</f>
        <v>1000671</v>
      </c>
      <c r="C10" s="26">
        <v>594192.0</v>
      </c>
      <c r="D10" s="31">
        <f t="shared" si="1"/>
        <v>59.37935645</v>
      </c>
      <c r="E10" s="26">
        <v>674681.0</v>
      </c>
      <c r="F10" s="31">
        <f t="shared" si="2"/>
        <v>67.42285926</v>
      </c>
      <c r="G10" s="26">
        <v>917495.0</v>
      </c>
      <c r="H10" s="31">
        <f t="shared" si="3"/>
        <v>91.68797737</v>
      </c>
      <c r="I10" s="26">
        <v>736918.0</v>
      </c>
      <c r="J10" s="31">
        <f t="shared" si="4"/>
        <v>73.64238596</v>
      </c>
      <c r="K10" s="26">
        <v>0.0</v>
      </c>
      <c r="L10" s="31">
        <f t="shared" si="5"/>
        <v>0</v>
      </c>
      <c r="M10" s="26">
        <v>2518277.0</v>
      </c>
      <c r="N10" s="26">
        <v>1148019.0</v>
      </c>
      <c r="O10" s="31">
        <f t="shared" si="6"/>
        <v>45.58747906</v>
      </c>
      <c r="P10" s="26">
        <v>235216.0</v>
      </c>
      <c r="Q10" s="31">
        <f t="shared" si="7"/>
        <v>9.340354536</v>
      </c>
      <c r="R10" s="26">
        <v>1460003.0</v>
      </c>
      <c r="S10" s="31">
        <f t="shared" si="8"/>
        <v>57.97626711</v>
      </c>
      <c r="T10" s="26">
        <v>2471017.0</v>
      </c>
      <c r="U10" s="31">
        <f t="shared" si="9"/>
        <v>98.12332003</v>
      </c>
      <c r="V10" s="26">
        <v>2289281.0</v>
      </c>
      <c r="W10" s="31">
        <f t="shared" si="10"/>
        <v>90.90663974</v>
      </c>
      <c r="X10" s="26">
        <v>0.0</v>
      </c>
      <c r="Y10" s="31">
        <f t="shared" ref="Y10:Y26" si="11">(X10/$M10)*100</f>
        <v>0</v>
      </c>
      <c r="Z10" s="41"/>
    </row>
    <row r="11">
      <c r="A11" s="25" t="s">
        <v>41</v>
      </c>
      <c r="B11" s="26">
        <f>'c32'!C11</f>
        <v>115495</v>
      </c>
      <c r="C11" s="26">
        <v>34046.0</v>
      </c>
      <c r="D11" s="31">
        <f t="shared" si="1"/>
        <v>29.4783324</v>
      </c>
      <c r="E11" s="26">
        <v>53438.0</v>
      </c>
      <c r="F11" s="31">
        <f t="shared" si="2"/>
        <v>46.26866964</v>
      </c>
      <c r="G11" s="26">
        <v>109206.0</v>
      </c>
      <c r="H11" s="31">
        <f t="shared" si="3"/>
        <v>94.55474263</v>
      </c>
      <c r="I11" s="26">
        <v>39078.0</v>
      </c>
      <c r="J11" s="31">
        <f t="shared" si="4"/>
        <v>33.83523096</v>
      </c>
      <c r="K11" s="26">
        <v>0.0</v>
      </c>
      <c r="L11" s="31">
        <f t="shared" si="5"/>
        <v>0</v>
      </c>
      <c r="M11" s="26">
        <v>249276.0</v>
      </c>
      <c r="N11" s="26">
        <v>75936.0</v>
      </c>
      <c r="O11" s="31">
        <f t="shared" si="6"/>
        <v>30.46261975</v>
      </c>
      <c r="P11" s="26">
        <v>21943.0</v>
      </c>
      <c r="Q11" s="31">
        <f t="shared" si="7"/>
        <v>8.802692598</v>
      </c>
      <c r="R11" s="26">
        <v>143788.0</v>
      </c>
      <c r="S11" s="31">
        <f t="shared" si="8"/>
        <v>57.68224779</v>
      </c>
      <c r="T11" s="26">
        <v>245958.0</v>
      </c>
      <c r="U11" s="31">
        <f t="shared" si="9"/>
        <v>98.66894527</v>
      </c>
      <c r="V11" s="26">
        <v>224541.0</v>
      </c>
      <c r="W11" s="31">
        <f t="shared" si="10"/>
        <v>90.07726376</v>
      </c>
      <c r="X11" s="26">
        <v>0.0</v>
      </c>
      <c r="Y11" s="31">
        <f t="shared" si="11"/>
        <v>0</v>
      </c>
      <c r="Z11" s="41"/>
    </row>
    <row r="12">
      <c r="A12" s="25" t="s">
        <v>43</v>
      </c>
      <c r="B12" s="26">
        <f>'c32'!C12</f>
        <v>224947</v>
      </c>
      <c r="C12" s="26">
        <v>92932.0</v>
      </c>
      <c r="D12" s="31">
        <f t="shared" si="1"/>
        <v>41.31284258</v>
      </c>
      <c r="E12" s="26">
        <v>153384.0</v>
      </c>
      <c r="F12" s="31">
        <f t="shared" si="2"/>
        <v>68.18672843</v>
      </c>
      <c r="G12" s="26">
        <v>199461.0</v>
      </c>
      <c r="H12" s="31">
        <f t="shared" si="3"/>
        <v>88.6702201</v>
      </c>
      <c r="I12" s="26">
        <v>144640.0</v>
      </c>
      <c r="J12" s="31">
        <f t="shared" si="4"/>
        <v>64.29959057</v>
      </c>
      <c r="K12" s="26">
        <v>488.6499938964844</v>
      </c>
      <c r="L12" s="31">
        <f t="shared" si="5"/>
        <v>0.2172289445</v>
      </c>
      <c r="M12" s="26">
        <v>766431.0</v>
      </c>
      <c r="N12" s="26">
        <v>214363.0</v>
      </c>
      <c r="O12" s="31">
        <f t="shared" si="6"/>
        <v>27.96898873</v>
      </c>
      <c r="P12" s="26">
        <v>49296.0</v>
      </c>
      <c r="Q12" s="31">
        <f t="shared" si="7"/>
        <v>6.431890151</v>
      </c>
      <c r="R12" s="26">
        <v>498147.0</v>
      </c>
      <c r="S12" s="31">
        <f t="shared" si="8"/>
        <v>64.99567476</v>
      </c>
      <c r="T12" s="26">
        <v>759631.0</v>
      </c>
      <c r="U12" s="31">
        <f t="shared" si="9"/>
        <v>99.11277075</v>
      </c>
      <c r="V12" s="26">
        <v>628291.0</v>
      </c>
      <c r="W12" s="31">
        <f t="shared" si="10"/>
        <v>81.97619877</v>
      </c>
      <c r="X12" s="26">
        <v>1591.0</v>
      </c>
      <c r="Y12" s="31">
        <f t="shared" si="11"/>
        <v>0.2075855491</v>
      </c>
      <c r="Z12" s="41"/>
    </row>
    <row r="13">
      <c r="A13" s="25" t="s">
        <v>44</v>
      </c>
      <c r="B13" s="26">
        <f>'c32'!C13</f>
        <v>154330</v>
      </c>
      <c r="C13" s="26">
        <v>38717.0</v>
      </c>
      <c r="D13" s="31">
        <f t="shared" si="1"/>
        <v>25.08715091</v>
      </c>
      <c r="E13" s="26">
        <v>83322.0</v>
      </c>
      <c r="F13" s="31">
        <f t="shared" si="2"/>
        <v>53.98950301</v>
      </c>
      <c r="G13" s="26">
        <v>119898.0</v>
      </c>
      <c r="H13" s="31">
        <f t="shared" si="3"/>
        <v>77.68936694</v>
      </c>
      <c r="I13" s="26">
        <v>60461.0</v>
      </c>
      <c r="J13" s="31">
        <f t="shared" si="4"/>
        <v>39.1764401</v>
      </c>
      <c r="K13" s="26">
        <v>0.0</v>
      </c>
      <c r="L13" s="31">
        <f t="shared" si="5"/>
        <v>0</v>
      </c>
      <c r="M13" s="26">
        <v>520744.0</v>
      </c>
      <c r="N13" s="26">
        <v>154365.0</v>
      </c>
      <c r="O13" s="31">
        <f t="shared" si="6"/>
        <v>29.6431644</v>
      </c>
      <c r="P13" s="26">
        <v>56709.0</v>
      </c>
      <c r="Q13" s="31">
        <f t="shared" si="7"/>
        <v>10.88999585</v>
      </c>
      <c r="R13" s="26">
        <v>327449.0</v>
      </c>
      <c r="S13" s="31">
        <f t="shared" si="8"/>
        <v>62.88099335</v>
      </c>
      <c r="T13" s="26">
        <v>512053.0</v>
      </c>
      <c r="U13" s="31">
        <f t="shared" si="9"/>
        <v>98.33104174</v>
      </c>
      <c r="V13" s="26">
        <v>439593.0</v>
      </c>
      <c r="W13" s="31">
        <f t="shared" si="10"/>
        <v>84.41633509</v>
      </c>
      <c r="X13" s="26">
        <v>0.0</v>
      </c>
      <c r="Y13" s="31">
        <f t="shared" si="11"/>
        <v>0</v>
      </c>
      <c r="Z13" s="41"/>
    </row>
    <row r="14">
      <c r="A14" s="25" t="s">
        <v>46</v>
      </c>
      <c r="B14" s="26">
        <f>'c32'!C14</f>
        <v>663095</v>
      </c>
      <c r="C14" s="26">
        <v>396413.0</v>
      </c>
      <c r="D14" s="31">
        <f t="shared" si="1"/>
        <v>59.78223331</v>
      </c>
      <c r="E14" s="26">
        <v>484677.0</v>
      </c>
      <c r="F14" s="31">
        <f t="shared" si="2"/>
        <v>73.09314653</v>
      </c>
      <c r="G14" s="26">
        <v>639674.0</v>
      </c>
      <c r="H14" s="31">
        <f t="shared" si="3"/>
        <v>96.46792692</v>
      </c>
      <c r="I14" s="26">
        <v>549292.0</v>
      </c>
      <c r="J14" s="31">
        <f t="shared" si="4"/>
        <v>82.83760246</v>
      </c>
      <c r="K14" s="26">
        <v>118.58422088623047</v>
      </c>
      <c r="L14" s="45">
        <f t="shared" si="5"/>
        <v>0.01788344368</v>
      </c>
      <c r="M14" s="26">
        <v>1939705.0</v>
      </c>
      <c r="N14" s="26">
        <v>549933.0</v>
      </c>
      <c r="O14" s="31">
        <f t="shared" si="6"/>
        <v>28.35137302</v>
      </c>
      <c r="P14" s="26">
        <v>182582.0</v>
      </c>
      <c r="Q14" s="31">
        <f t="shared" si="7"/>
        <v>9.412874638</v>
      </c>
      <c r="R14" s="26">
        <v>1239163.0</v>
      </c>
      <c r="S14" s="31">
        <f t="shared" si="8"/>
        <v>63.88409578</v>
      </c>
      <c r="T14" s="26">
        <v>1908268.0</v>
      </c>
      <c r="U14" s="31">
        <f t="shared" si="9"/>
        <v>98.37928963</v>
      </c>
      <c r="V14" s="26">
        <v>1697412.0</v>
      </c>
      <c r="W14" s="31">
        <f t="shared" si="10"/>
        <v>87.50877066</v>
      </c>
      <c r="X14" s="26">
        <v>0.0</v>
      </c>
      <c r="Y14" s="31">
        <f t="shared" si="11"/>
        <v>0</v>
      </c>
      <c r="Z14" s="41"/>
    </row>
    <row r="15">
      <c r="A15" s="25" t="s">
        <v>48</v>
      </c>
      <c r="B15" s="26">
        <f>'c32'!C15</f>
        <v>844147</v>
      </c>
      <c r="C15" s="26">
        <v>461056.0</v>
      </c>
      <c r="D15" s="31">
        <f t="shared" si="1"/>
        <v>54.61797531</v>
      </c>
      <c r="E15" s="26">
        <v>568172.0</v>
      </c>
      <c r="F15" s="31">
        <f t="shared" si="2"/>
        <v>67.3072344</v>
      </c>
      <c r="G15" s="26">
        <v>780607.0</v>
      </c>
      <c r="H15" s="31">
        <f t="shared" si="3"/>
        <v>92.47287499</v>
      </c>
      <c r="I15" s="26">
        <v>621989.0</v>
      </c>
      <c r="J15" s="31">
        <f t="shared" si="4"/>
        <v>73.68254581</v>
      </c>
      <c r="K15" s="26">
        <v>6680.665435791016</v>
      </c>
      <c r="L15" s="31">
        <f t="shared" si="5"/>
        <v>0.791410197</v>
      </c>
      <c r="M15" s="26">
        <v>2323365.0</v>
      </c>
      <c r="N15" s="26">
        <v>979120.0</v>
      </c>
      <c r="O15" s="31">
        <f t="shared" si="6"/>
        <v>42.14232374</v>
      </c>
      <c r="P15" s="26">
        <v>248710.0</v>
      </c>
      <c r="Q15" s="31">
        <f t="shared" si="7"/>
        <v>10.70473214</v>
      </c>
      <c r="R15" s="26">
        <v>1259549.0</v>
      </c>
      <c r="S15" s="31">
        <f t="shared" si="8"/>
        <v>54.21227401</v>
      </c>
      <c r="T15" s="26">
        <v>2277446.0</v>
      </c>
      <c r="U15" s="31">
        <f t="shared" si="9"/>
        <v>98.02359939</v>
      </c>
      <c r="V15" s="26">
        <v>2125966.0</v>
      </c>
      <c r="W15" s="31">
        <f t="shared" si="10"/>
        <v>91.50374564</v>
      </c>
      <c r="X15" s="26">
        <v>0.0</v>
      </c>
      <c r="Y15" s="31">
        <f t="shared" si="11"/>
        <v>0</v>
      </c>
      <c r="Z15" s="41"/>
    </row>
    <row r="16">
      <c r="A16" s="25" t="s">
        <v>50</v>
      </c>
      <c r="B16" s="26">
        <f>'c32'!C16</f>
        <v>52140</v>
      </c>
      <c r="C16" s="26">
        <v>26170.0</v>
      </c>
      <c r="D16" s="31">
        <f t="shared" si="1"/>
        <v>50.19179133</v>
      </c>
      <c r="E16" s="26">
        <v>35133.0</v>
      </c>
      <c r="F16" s="31">
        <f t="shared" si="2"/>
        <v>67.38204833</v>
      </c>
      <c r="G16" s="26">
        <v>45338.0</v>
      </c>
      <c r="H16" s="31">
        <f t="shared" si="3"/>
        <v>86.95435366</v>
      </c>
      <c r="I16" s="26">
        <v>35959.0</v>
      </c>
      <c r="J16" s="31">
        <f t="shared" si="4"/>
        <v>68.96624473</v>
      </c>
      <c r="K16" s="26">
        <v>544.174072265625</v>
      </c>
      <c r="L16" s="31">
        <f t="shared" si="5"/>
        <v>1.043678696</v>
      </c>
      <c r="M16" s="26">
        <v>256021.0</v>
      </c>
      <c r="N16" s="26">
        <v>83914.0</v>
      </c>
      <c r="O16" s="31">
        <f t="shared" si="6"/>
        <v>32.77621758</v>
      </c>
      <c r="P16" s="26">
        <v>38403.0</v>
      </c>
      <c r="Q16" s="31">
        <f t="shared" si="7"/>
        <v>14.99994141</v>
      </c>
      <c r="R16" s="26">
        <v>174675.0</v>
      </c>
      <c r="S16" s="31">
        <f t="shared" si="8"/>
        <v>68.22682514</v>
      </c>
      <c r="T16" s="26">
        <v>246879.0</v>
      </c>
      <c r="U16" s="31">
        <f t="shared" si="9"/>
        <v>96.42919917</v>
      </c>
      <c r="V16" s="26">
        <v>224666.0</v>
      </c>
      <c r="W16" s="31">
        <f t="shared" si="10"/>
        <v>87.75295777</v>
      </c>
      <c r="X16" s="26">
        <v>0.0</v>
      </c>
      <c r="Y16" s="31">
        <f t="shared" si="11"/>
        <v>0</v>
      </c>
      <c r="Z16" s="41"/>
    </row>
    <row r="17">
      <c r="A17" s="25" t="s">
        <v>51</v>
      </c>
      <c r="B17" s="26">
        <f>'c32'!C17</f>
        <v>75063</v>
      </c>
      <c r="C17" s="26">
        <v>35103.0</v>
      </c>
      <c r="D17" s="31">
        <f t="shared" si="1"/>
        <v>46.76471764</v>
      </c>
      <c r="E17" s="26">
        <v>55388.0</v>
      </c>
      <c r="F17" s="31">
        <f t="shared" si="2"/>
        <v>73.78868417</v>
      </c>
      <c r="G17" s="26">
        <v>52313.0</v>
      </c>
      <c r="H17" s="31">
        <f t="shared" si="3"/>
        <v>69.69212528</v>
      </c>
      <c r="I17" s="26">
        <v>32011.0</v>
      </c>
      <c r="J17" s="31">
        <f t="shared" si="4"/>
        <v>42.6455111</v>
      </c>
      <c r="K17" s="26">
        <v>0.0</v>
      </c>
      <c r="L17" s="31">
        <f t="shared" si="5"/>
        <v>0</v>
      </c>
      <c r="M17" s="26">
        <v>564663.0</v>
      </c>
      <c r="N17" s="26">
        <v>174509.0</v>
      </c>
      <c r="O17" s="31">
        <f t="shared" si="6"/>
        <v>30.90498226</v>
      </c>
      <c r="P17" s="26">
        <v>91233.0</v>
      </c>
      <c r="Q17" s="31">
        <f t="shared" si="7"/>
        <v>16.15707068</v>
      </c>
      <c r="R17" s="26">
        <v>394438.0</v>
      </c>
      <c r="S17" s="31">
        <f t="shared" si="8"/>
        <v>69.85370035</v>
      </c>
      <c r="T17" s="26">
        <v>543462.0</v>
      </c>
      <c r="U17" s="31">
        <f t="shared" si="9"/>
        <v>96.24537113</v>
      </c>
      <c r="V17" s="26">
        <v>457529.0</v>
      </c>
      <c r="W17" s="31">
        <f t="shared" si="10"/>
        <v>81.0269134</v>
      </c>
      <c r="X17" s="26">
        <v>0.0</v>
      </c>
      <c r="Y17" s="31">
        <f t="shared" si="11"/>
        <v>0</v>
      </c>
      <c r="Z17" s="41"/>
    </row>
    <row r="18">
      <c r="A18" s="25" t="s">
        <v>53</v>
      </c>
      <c r="B18" s="26">
        <f>'c32'!C18</f>
        <v>177260</v>
      </c>
      <c r="C18" s="26">
        <v>92607.0</v>
      </c>
      <c r="D18" s="31">
        <f t="shared" si="1"/>
        <v>52.24359698</v>
      </c>
      <c r="E18" s="26">
        <v>111977.0</v>
      </c>
      <c r="F18" s="31">
        <f t="shared" si="2"/>
        <v>63.17104818</v>
      </c>
      <c r="G18" s="26">
        <v>158549.0</v>
      </c>
      <c r="H18" s="31">
        <f t="shared" si="3"/>
        <v>89.44431908</v>
      </c>
      <c r="I18" s="26">
        <v>101248.0</v>
      </c>
      <c r="J18" s="31">
        <f t="shared" si="4"/>
        <v>57.11835722</v>
      </c>
      <c r="K18" s="26">
        <v>395.0</v>
      </c>
      <c r="L18" s="31">
        <f t="shared" si="5"/>
        <v>0.2228365113</v>
      </c>
      <c r="M18" s="26">
        <v>829005.0</v>
      </c>
      <c r="N18" s="26">
        <v>322893.0</v>
      </c>
      <c r="O18" s="31">
        <f t="shared" si="6"/>
        <v>38.94946351</v>
      </c>
      <c r="P18" s="26">
        <v>114055.0</v>
      </c>
      <c r="Q18" s="31">
        <f t="shared" si="7"/>
        <v>13.75805936</v>
      </c>
      <c r="R18" s="26">
        <v>517800.0</v>
      </c>
      <c r="S18" s="31">
        <f t="shared" si="8"/>
        <v>62.46041942</v>
      </c>
      <c r="T18" s="26">
        <v>808078.0</v>
      </c>
      <c r="U18" s="31">
        <f t="shared" si="9"/>
        <v>97.47564852</v>
      </c>
      <c r="V18" s="26">
        <v>686533.0</v>
      </c>
      <c r="W18" s="31">
        <f t="shared" si="10"/>
        <v>82.81409642</v>
      </c>
      <c r="X18" s="26">
        <v>1179.0</v>
      </c>
      <c r="Y18" s="31">
        <f t="shared" si="11"/>
        <v>0.1422186838</v>
      </c>
      <c r="Z18" s="41"/>
    </row>
    <row r="19">
      <c r="A19" s="25" t="s">
        <v>54</v>
      </c>
      <c r="B19" s="26">
        <f>'c32'!C19</f>
        <v>186621</v>
      </c>
      <c r="C19" s="26">
        <v>96712.0</v>
      </c>
      <c r="D19" s="31">
        <f t="shared" si="1"/>
        <v>51.82267805</v>
      </c>
      <c r="E19" s="26">
        <v>99097.0</v>
      </c>
      <c r="F19" s="31">
        <f t="shared" si="2"/>
        <v>53.10066927</v>
      </c>
      <c r="G19" s="26">
        <v>171948.0</v>
      </c>
      <c r="H19" s="31">
        <f t="shared" si="3"/>
        <v>92.13754079</v>
      </c>
      <c r="I19" s="26">
        <v>121885.0</v>
      </c>
      <c r="J19" s="31">
        <f t="shared" si="4"/>
        <v>65.31151371</v>
      </c>
      <c r="K19" s="26">
        <v>329.95159912109375</v>
      </c>
      <c r="L19" s="31">
        <f t="shared" si="5"/>
        <v>0.1768030388</v>
      </c>
      <c r="M19" s="26">
        <v>868012.0</v>
      </c>
      <c r="N19" s="26">
        <v>349593.0</v>
      </c>
      <c r="O19" s="31">
        <f t="shared" si="6"/>
        <v>40.27513445</v>
      </c>
      <c r="P19" s="26">
        <v>103805.0</v>
      </c>
      <c r="Q19" s="31">
        <f t="shared" si="7"/>
        <v>11.95893605</v>
      </c>
      <c r="R19" s="26">
        <v>524383.0</v>
      </c>
      <c r="S19" s="31">
        <f t="shared" si="8"/>
        <v>60.41195283</v>
      </c>
      <c r="T19" s="26">
        <v>842679.0</v>
      </c>
      <c r="U19" s="31">
        <f t="shared" si="9"/>
        <v>97.08149196</v>
      </c>
      <c r="V19" s="26">
        <v>763650.0</v>
      </c>
      <c r="W19" s="31">
        <f t="shared" si="10"/>
        <v>87.97689433</v>
      </c>
      <c r="X19" s="26">
        <v>0.0</v>
      </c>
      <c r="Y19" s="31">
        <f t="shared" si="11"/>
        <v>0</v>
      </c>
      <c r="Z19" s="41"/>
    </row>
    <row r="20">
      <c r="A20" s="25" t="s">
        <v>56</v>
      </c>
      <c r="B20" s="26">
        <f>'c32'!C20</f>
        <v>173539</v>
      </c>
      <c r="C20" s="26">
        <v>46536.0</v>
      </c>
      <c r="D20" s="31">
        <f t="shared" si="1"/>
        <v>26.81587424</v>
      </c>
      <c r="E20" s="26">
        <v>103528.0</v>
      </c>
      <c r="F20" s="31">
        <f t="shared" si="2"/>
        <v>59.65690709</v>
      </c>
      <c r="G20" s="26">
        <v>159376.0</v>
      </c>
      <c r="H20" s="31">
        <f t="shared" si="3"/>
        <v>91.83872213</v>
      </c>
      <c r="I20" s="26">
        <v>73251.0</v>
      </c>
      <c r="J20" s="31">
        <f t="shared" si="4"/>
        <v>42.21010839</v>
      </c>
      <c r="K20" s="26">
        <v>2539.8222427368164</v>
      </c>
      <c r="L20" s="31">
        <f t="shared" si="5"/>
        <v>1.46354551</v>
      </c>
      <c r="M20" s="26">
        <v>410873.0</v>
      </c>
      <c r="N20" s="26">
        <v>150191.0</v>
      </c>
      <c r="O20" s="31">
        <f t="shared" si="6"/>
        <v>36.5541177</v>
      </c>
      <c r="P20" s="26">
        <v>51620.0</v>
      </c>
      <c r="Q20" s="31">
        <f t="shared" si="7"/>
        <v>12.56349286</v>
      </c>
      <c r="R20" s="26">
        <v>298181.0</v>
      </c>
      <c r="S20" s="31">
        <f t="shared" si="8"/>
        <v>72.57254675</v>
      </c>
      <c r="T20" s="26">
        <v>394730.0</v>
      </c>
      <c r="U20" s="31">
        <f t="shared" si="9"/>
        <v>96.07104872</v>
      </c>
      <c r="V20" s="26">
        <v>365865.0</v>
      </c>
      <c r="W20" s="31">
        <f t="shared" si="10"/>
        <v>89.04576353</v>
      </c>
      <c r="X20" s="26">
        <v>931.0</v>
      </c>
      <c r="Y20" s="31">
        <f t="shared" si="11"/>
        <v>0.2265906983</v>
      </c>
      <c r="Z20" s="41"/>
    </row>
    <row r="21" ht="15.75" customHeight="1">
      <c r="A21" s="25" t="s">
        <v>57</v>
      </c>
      <c r="B21" s="26">
        <f>'c32'!C21</f>
        <v>46424</v>
      </c>
      <c r="C21" s="26">
        <v>23025.0</v>
      </c>
      <c r="D21" s="31">
        <f t="shared" si="1"/>
        <v>49.59719111</v>
      </c>
      <c r="E21" s="26">
        <v>31489.0</v>
      </c>
      <c r="F21" s="31">
        <f t="shared" si="2"/>
        <v>67.8291401</v>
      </c>
      <c r="G21" s="26">
        <v>39979.0</v>
      </c>
      <c r="H21" s="31">
        <f t="shared" si="3"/>
        <v>86.11709461</v>
      </c>
      <c r="I21" s="26">
        <v>24374.0</v>
      </c>
      <c r="J21" s="31">
        <f t="shared" si="4"/>
        <v>52.50301568</v>
      </c>
      <c r="K21" s="26">
        <v>0.0</v>
      </c>
      <c r="L21" s="31">
        <f t="shared" si="5"/>
        <v>0</v>
      </c>
      <c r="M21" s="26">
        <v>191638.0</v>
      </c>
      <c r="N21" s="26">
        <v>78402.0</v>
      </c>
      <c r="O21" s="31">
        <f t="shared" si="6"/>
        <v>40.91151024</v>
      </c>
      <c r="P21" s="26">
        <v>34093.0</v>
      </c>
      <c r="Q21" s="31">
        <f t="shared" si="7"/>
        <v>17.79031299</v>
      </c>
      <c r="R21" s="26">
        <v>136524.0</v>
      </c>
      <c r="S21" s="31">
        <f t="shared" si="8"/>
        <v>71.24056815</v>
      </c>
      <c r="T21" s="26">
        <v>181234.0</v>
      </c>
      <c r="U21" s="31">
        <f t="shared" si="9"/>
        <v>94.5710141</v>
      </c>
      <c r="V21" s="26">
        <v>148486.0</v>
      </c>
      <c r="W21" s="31">
        <f t="shared" si="10"/>
        <v>77.48254522</v>
      </c>
      <c r="X21" s="26">
        <v>709.0</v>
      </c>
      <c r="Y21" s="31">
        <f t="shared" si="11"/>
        <v>0.3699683779</v>
      </c>
      <c r="Z21" s="41"/>
    </row>
    <row r="22" ht="15.75" customHeight="1">
      <c r="A22" s="25" t="s">
        <v>59</v>
      </c>
      <c r="B22" s="26">
        <f>'c32'!C22</f>
        <v>68753</v>
      </c>
      <c r="C22" s="26">
        <v>46344.0</v>
      </c>
      <c r="D22" s="31">
        <f t="shared" si="1"/>
        <v>67.40651317</v>
      </c>
      <c r="E22" s="26">
        <v>52162.0</v>
      </c>
      <c r="F22" s="31">
        <f t="shared" si="2"/>
        <v>75.86868937</v>
      </c>
      <c r="G22" s="26">
        <v>56504.0</v>
      </c>
      <c r="H22" s="31">
        <f t="shared" si="3"/>
        <v>82.18405015</v>
      </c>
      <c r="I22" s="26">
        <v>32568.0</v>
      </c>
      <c r="J22" s="31">
        <f t="shared" si="4"/>
        <v>47.36956933</v>
      </c>
      <c r="K22" s="26">
        <v>0.0</v>
      </c>
      <c r="L22" s="31">
        <f t="shared" si="5"/>
        <v>0</v>
      </c>
      <c r="M22" s="26">
        <v>685347.0</v>
      </c>
      <c r="N22" s="26">
        <v>190712.0</v>
      </c>
      <c r="O22" s="31">
        <f t="shared" si="6"/>
        <v>27.82707154</v>
      </c>
      <c r="P22" s="26">
        <v>56775.0</v>
      </c>
      <c r="Q22" s="31">
        <f t="shared" si="7"/>
        <v>8.284124684</v>
      </c>
      <c r="R22" s="26">
        <v>431216.0</v>
      </c>
      <c r="S22" s="31">
        <f t="shared" si="8"/>
        <v>62.91936785</v>
      </c>
      <c r="T22" s="26">
        <v>674243.0</v>
      </c>
      <c r="U22" s="31">
        <f t="shared" si="9"/>
        <v>98.37979885</v>
      </c>
      <c r="V22" s="26">
        <v>580461.0</v>
      </c>
      <c r="W22" s="31">
        <f t="shared" si="10"/>
        <v>84.69592776</v>
      </c>
      <c r="X22" s="26">
        <v>536.0</v>
      </c>
      <c r="Y22" s="31">
        <f t="shared" si="11"/>
        <v>0.07820855713</v>
      </c>
      <c r="Z22" s="41"/>
    </row>
    <row r="23" ht="15.75" customHeight="1">
      <c r="A23" s="25" t="s">
        <v>60</v>
      </c>
      <c r="B23" s="26">
        <f>'c32'!C23</f>
        <v>163277</v>
      </c>
      <c r="C23" s="26">
        <v>59962.0</v>
      </c>
      <c r="D23" s="31">
        <f t="shared" si="1"/>
        <v>36.72409464</v>
      </c>
      <c r="E23" s="26">
        <v>110227.0</v>
      </c>
      <c r="F23" s="31">
        <f t="shared" si="2"/>
        <v>67.50920215</v>
      </c>
      <c r="G23" s="26">
        <v>121209.0</v>
      </c>
      <c r="H23" s="31">
        <f t="shared" si="3"/>
        <v>74.2351954</v>
      </c>
      <c r="I23" s="26">
        <v>103062.0</v>
      </c>
      <c r="J23" s="31">
        <f t="shared" si="4"/>
        <v>63.12095396</v>
      </c>
      <c r="K23" s="26">
        <v>0.0</v>
      </c>
      <c r="L23" s="31">
        <f t="shared" si="5"/>
        <v>0</v>
      </c>
      <c r="M23" s="26">
        <v>497762.0</v>
      </c>
      <c r="N23" s="26">
        <v>162488.0</v>
      </c>
      <c r="O23" s="31">
        <f t="shared" si="6"/>
        <v>32.64371326</v>
      </c>
      <c r="P23" s="26">
        <v>52270.0</v>
      </c>
      <c r="Q23" s="31">
        <f t="shared" si="7"/>
        <v>10.50100249</v>
      </c>
      <c r="R23" s="26">
        <v>288100.0</v>
      </c>
      <c r="S23" s="31">
        <f t="shared" si="8"/>
        <v>57.8790667</v>
      </c>
      <c r="T23" s="26">
        <v>489702.0</v>
      </c>
      <c r="U23" s="31">
        <f t="shared" si="9"/>
        <v>98.38075225</v>
      </c>
      <c r="V23" s="26">
        <v>388370.0</v>
      </c>
      <c r="W23" s="31">
        <f t="shared" si="10"/>
        <v>78.02323199</v>
      </c>
      <c r="X23" s="26">
        <v>0.0</v>
      </c>
      <c r="Y23" s="31">
        <f t="shared" si="11"/>
        <v>0</v>
      </c>
      <c r="Z23" s="41"/>
    </row>
    <row r="24" ht="15.75" customHeight="1">
      <c r="A24" s="25" t="s">
        <v>63</v>
      </c>
      <c r="B24" s="26">
        <f>'c32'!C24</f>
        <v>108209</v>
      </c>
      <c r="C24" s="26">
        <v>51102.0</v>
      </c>
      <c r="D24" s="31">
        <f t="shared" si="1"/>
        <v>47.22527701</v>
      </c>
      <c r="E24" s="26">
        <v>75164.0</v>
      </c>
      <c r="F24" s="31">
        <f t="shared" si="2"/>
        <v>69.46187471</v>
      </c>
      <c r="G24" s="26">
        <v>95838.0</v>
      </c>
      <c r="H24" s="31">
        <f t="shared" si="3"/>
        <v>88.56749439</v>
      </c>
      <c r="I24" s="26">
        <v>60601.0</v>
      </c>
      <c r="J24" s="31">
        <f t="shared" si="4"/>
        <v>56.00365958</v>
      </c>
      <c r="K24" s="26">
        <v>0.0</v>
      </c>
      <c r="L24" s="31">
        <f t="shared" si="5"/>
        <v>0</v>
      </c>
      <c r="M24" s="26">
        <v>478737.0</v>
      </c>
      <c r="N24" s="26">
        <v>144196.0</v>
      </c>
      <c r="O24" s="31">
        <f t="shared" si="6"/>
        <v>30.12008681</v>
      </c>
      <c r="P24" s="26">
        <v>51477.0</v>
      </c>
      <c r="Q24" s="31">
        <f t="shared" si="7"/>
        <v>10.75266796</v>
      </c>
      <c r="R24" s="26">
        <v>298494.0</v>
      </c>
      <c r="S24" s="31">
        <f t="shared" si="8"/>
        <v>62.35030925</v>
      </c>
      <c r="T24" s="26">
        <v>466384.0</v>
      </c>
      <c r="U24" s="31">
        <f t="shared" si="9"/>
        <v>97.41966884</v>
      </c>
      <c r="V24" s="26">
        <v>413183.0</v>
      </c>
      <c r="W24" s="31">
        <f t="shared" si="10"/>
        <v>86.30688666</v>
      </c>
      <c r="X24" s="26">
        <v>0.0</v>
      </c>
      <c r="Y24" s="31">
        <f t="shared" si="11"/>
        <v>0</v>
      </c>
      <c r="Z24" s="41"/>
    </row>
    <row r="25" ht="15.75" customHeight="1">
      <c r="A25" s="25" t="s">
        <v>64</v>
      </c>
      <c r="B25" s="26">
        <f>'c32'!C25</f>
        <v>46331</v>
      </c>
      <c r="C25" s="26">
        <v>30238.0</v>
      </c>
      <c r="D25" s="31">
        <f t="shared" si="1"/>
        <v>65.26515724</v>
      </c>
      <c r="E25" s="26">
        <v>33957.0</v>
      </c>
      <c r="F25" s="31">
        <f t="shared" si="2"/>
        <v>73.29218018</v>
      </c>
      <c r="G25" s="26">
        <v>35984.0</v>
      </c>
      <c r="H25" s="31">
        <f t="shared" si="3"/>
        <v>77.66722065</v>
      </c>
      <c r="I25" s="26">
        <v>26103.0</v>
      </c>
      <c r="J25" s="31">
        <f t="shared" si="4"/>
        <v>56.34024735</v>
      </c>
      <c r="K25" s="26">
        <v>0.0</v>
      </c>
      <c r="L25" s="31">
        <f t="shared" si="5"/>
        <v>0</v>
      </c>
      <c r="M25" s="26">
        <v>221347.0</v>
      </c>
      <c r="N25" s="26">
        <v>67350.0</v>
      </c>
      <c r="O25" s="31">
        <f t="shared" si="6"/>
        <v>30.42733807</v>
      </c>
      <c r="P25" s="26">
        <v>20162.0</v>
      </c>
      <c r="Q25" s="31">
        <f t="shared" si="7"/>
        <v>9.10877491</v>
      </c>
      <c r="R25" s="26">
        <v>140772.0</v>
      </c>
      <c r="S25" s="31">
        <f t="shared" si="8"/>
        <v>63.59788025</v>
      </c>
      <c r="T25" s="26">
        <v>217763.0</v>
      </c>
      <c r="U25" s="31">
        <f t="shared" si="9"/>
        <v>98.38082287</v>
      </c>
      <c r="V25" s="26">
        <v>148928.0</v>
      </c>
      <c r="W25" s="31">
        <f t="shared" si="10"/>
        <v>67.28259249</v>
      </c>
      <c r="X25" s="26">
        <v>341.0</v>
      </c>
      <c r="Y25" s="31">
        <f t="shared" si="11"/>
        <v>0.1540567525</v>
      </c>
      <c r="Z25" s="41"/>
    </row>
    <row r="26" ht="15.75" customHeight="1">
      <c r="A26" s="25" t="s">
        <v>65</v>
      </c>
      <c r="B26" s="26">
        <f>'c32'!C26</f>
        <v>23580</v>
      </c>
      <c r="C26" s="26">
        <v>2671.0</v>
      </c>
      <c r="D26" s="31">
        <f t="shared" si="1"/>
        <v>11.3273961</v>
      </c>
      <c r="E26" s="26">
        <v>11481.0</v>
      </c>
      <c r="F26" s="31">
        <f t="shared" si="2"/>
        <v>48.68956743</v>
      </c>
      <c r="G26" s="26">
        <v>15714.0</v>
      </c>
      <c r="H26" s="31">
        <f t="shared" si="3"/>
        <v>66.64122137</v>
      </c>
      <c r="I26" s="26">
        <v>4177.0</v>
      </c>
      <c r="J26" s="31">
        <f t="shared" si="4"/>
        <v>17.71416455</v>
      </c>
      <c r="K26" s="26">
        <v>0.0</v>
      </c>
      <c r="L26" s="31">
        <f t="shared" si="5"/>
        <v>0</v>
      </c>
      <c r="M26" s="26">
        <v>234671.0</v>
      </c>
      <c r="N26" s="26">
        <v>49982.0</v>
      </c>
      <c r="O26" s="31">
        <f t="shared" si="6"/>
        <v>21.29875443</v>
      </c>
      <c r="P26" s="26">
        <v>41494.0</v>
      </c>
      <c r="Q26" s="31">
        <f t="shared" si="7"/>
        <v>17.68177576</v>
      </c>
      <c r="R26" s="26">
        <v>110267.0</v>
      </c>
      <c r="S26" s="31">
        <f t="shared" si="8"/>
        <v>46.98791073</v>
      </c>
      <c r="T26" s="26">
        <v>225765.0</v>
      </c>
      <c r="U26" s="31">
        <f t="shared" si="9"/>
        <v>96.20489963</v>
      </c>
      <c r="V26" s="26">
        <v>167373.0</v>
      </c>
      <c r="W26" s="31">
        <f t="shared" si="10"/>
        <v>71.32240456</v>
      </c>
      <c r="X26" s="26">
        <v>1127.0</v>
      </c>
      <c r="Y26" s="31">
        <f t="shared" si="11"/>
        <v>0.4802468136</v>
      </c>
      <c r="Z26" s="41"/>
    </row>
    <row r="27" ht="15.75" customHeight="1">
      <c r="A27" s="28"/>
      <c r="B27" s="28"/>
      <c r="C27" s="28"/>
      <c r="D27" s="28"/>
      <c r="E27" s="28"/>
      <c r="F27" s="28"/>
      <c r="G27" s="28"/>
      <c r="H27" s="28"/>
      <c r="I27" s="28"/>
      <c r="J27" s="28"/>
      <c r="K27" s="28"/>
      <c r="L27" s="28"/>
      <c r="M27" s="28"/>
      <c r="N27" s="28"/>
      <c r="O27" s="28"/>
      <c r="P27" s="28"/>
      <c r="Q27" s="28"/>
      <c r="R27" s="28"/>
      <c r="S27" s="28"/>
      <c r="T27" s="28"/>
      <c r="U27" s="28"/>
      <c r="V27" s="28"/>
      <c r="W27" s="28"/>
      <c r="X27" s="28"/>
      <c r="Y27" s="28"/>
    </row>
    <row r="28" ht="15.75" customHeight="1">
      <c r="A28" s="9"/>
      <c r="B28" s="9"/>
      <c r="C28" s="9"/>
      <c r="D28" s="9"/>
      <c r="E28" s="9"/>
      <c r="F28" s="9"/>
      <c r="G28" s="9"/>
      <c r="H28" s="9"/>
      <c r="I28" s="9"/>
      <c r="J28" s="9"/>
      <c r="K28" s="9"/>
      <c r="L28" s="9"/>
      <c r="M28" s="9"/>
      <c r="N28" s="9"/>
      <c r="O28" s="9"/>
    </row>
    <row r="29" ht="15.75" customHeight="1">
      <c r="A29" s="29" t="s">
        <v>69</v>
      </c>
      <c r="B29" s="29"/>
      <c r="C29" s="29"/>
      <c r="D29" s="29"/>
      <c r="E29" s="29"/>
      <c r="F29" s="29"/>
      <c r="G29" s="29"/>
      <c r="H29" s="29"/>
      <c r="I29" s="29"/>
      <c r="J29" s="29"/>
      <c r="K29" s="29"/>
      <c r="L29" s="29"/>
      <c r="M29" s="29"/>
      <c r="N29" s="29"/>
      <c r="O29" s="29"/>
      <c r="P29" s="29"/>
      <c r="Q29" s="29"/>
      <c r="R29" s="30"/>
      <c r="S29" s="30"/>
      <c r="T29" s="30"/>
      <c r="U29" s="30"/>
      <c r="V29" s="30"/>
      <c r="W29" s="30"/>
      <c r="X29" s="30"/>
    </row>
    <row r="30" ht="15.75" customHeight="1">
      <c r="A30" s="29" t="s">
        <v>72</v>
      </c>
      <c r="B30" s="29"/>
      <c r="C30" s="29"/>
      <c r="D30" s="29"/>
      <c r="E30" s="29"/>
      <c r="F30" s="29"/>
      <c r="G30" s="29"/>
      <c r="H30" s="29"/>
      <c r="I30" s="29"/>
      <c r="J30" s="29"/>
      <c r="K30" s="29"/>
      <c r="L30" s="29"/>
      <c r="M30" s="29"/>
      <c r="N30" s="29"/>
      <c r="O30" s="29"/>
      <c r="P30" s="29"/>
      <c r="Q30" s="29"/>
      <c r="R30" s="30"/>
      <c r="S30" s="30"/>
      <c r="T30" s="30"/>
      <c r="U30" s="30"/>
      <c r="V30" s="30"/>
      <c r="W30" s="30"/>
      <c r="X30" s="30"/>
    </row>
    <row r="31" ht="15.75" customHeight="1">
      <c r="A31" s="29" t="s">
        <v>263</v>
      </c>
      <c r="B31" s="29"/>
      <c r="C31" s="29"/>
      <c r="D31" s="29"/>
      <c r="E31" s="29"/>
      <c r="F31" s="29"/>
      <c r="G31" s="29"/>
      <c r="H31" s="29"/>
      <c r="I31" s="29"/>
      <c r="J31" s="29"/>
      <c r="K31" s="29"/>
      <c r="L31" s="29"/>
      <c r="M31" s="29"/>
      <c r="N31" s="29"/>
      <c r="O31" s="29"/>
      <c r="P31" s="29"/>
      <c r="Q31" s="29"/>
      <c r="R31" s="30"/>
      <c r="S31" s="30"/>
      <c r="T31" s="30"/>
      <c r="U31" s="30"/>
      <c r="V31" s="30"/>
      <c r="W31" s="30"/>
      <c r="X31" s="30"/>
    </row>
    <row r="32" ht="15.75" customHeight="1">
      <c r="A32" s="29" t="s">
        <v>266</v>
      </c>
      <c r="B32" s="29"/>
      <c r="C32" s="29"/>
      <c r="D32" s="29"/>
      <c r="E32" s="29"/>
      <c r="F32" s="29"/>
      <c r="G32" s="29"/>
      <c r="H32" s="29"/>
      <c r="I32" s="29"/>
      <c r="J32" s="29"/>
      <c r="K32" s="29"/>
      <c r="L32" s="29"/>
      <c r="M32" s="29"/>
      <c r="N32" s="29"/>
      <c r="O32" s="29"/>
      <c r="P32" s="29"/>
      <c r="Q32" s="29"/>
      <c r="R32" s="30"/>
      <c r="S32" s="30"/>
      <c r="T32" s="30"/>
      <c r="U32" s="30"/>
      <c r="V32" s="30"/>
      <c r="W32" s="30"/>
      <c r="X32" s="30"/>
    </row>
    <row r="33" ht="15.75" customHeight="1">
      <c r="A33" s="32" t="s">
        <v>76</v>
      </c>
    </row>
    <row r="34" ht="15.75" customHeight="1">
      <c r="A34" s="32"/>
    </row>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0">
    <mergeCell ref="C6:D6"/>
    <mergeCell ref="E6:F6"/>
    <mergeCell ref="G6:H6"/>
    <mergeCell ref="I6:J6"/>
    <mergeCell ref="K6:L6"/>
    <mergeCell ref="N6:O6"/>
    <mergeCell ref="P6:Q6"/>
    <mergeCell ref="R6:S6"/>
    <mergeCell ref="T6:U6"/>
    <mergeCell ref="V6:W6"/>
    <mergeCell ref="C5:L5"/>
    <mergeCell ref="A33:X33"/>
    <mergeCell ref="A34:X34"/>
    <mergeCell ref="A4:A7"/>
    <mergeCell ref="B4:L4"/>
    <mergeCell ref="M4:Y4"/>
    <mergeCell ref="B5:B7"/>
    <mergeCell ref="M5:M7"/>
    <mergeCell ref="N5:Y5"/>
    <mergeCell ref="X6:Y6"/>
  </mergeCells>
  <hyperlinks>
    <hyperlink display="BACK TO LIST" location="LIST!A1" ref="A1"/>
  </hyperlinks>
  <printOptions/>
  <pageMargins bottom="0.75" footer="0.0" header="0.0" left="0.7" right="0.7" top="0.75"/>
  <pageSetup paperSize="9" orientation="portrait"/>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9"/>
    <pageSetUpPr/>
  </sheetPr>
  <sheetViews>
    <sheetView workbookViewId="0"/>
  </sheetViews>
  <sheetFormatPr customHeight="1" defaultColWidth="12.63" defaultRowHeight="15.0"/>
  <cols>
    <col customWidth="1" min="1" max="1" width="39.0"/>
    <col customWidth="1" min="2" max="3" width="14.0"/>
    <col customWidth="1" min="4" max="26" width="8.63"/>
  </cols>
  <sheetData>
    <row r="1">
      <c r="A1" s="5" t="s">
        <v>1</v>
      </c>
    </row>
    <row r="2">
      <c r="A2" s="6" t="s">
        <v>252</v>
      </c>
      <c r="B2" s="6"/>
    </row>
    <row r="3">
      <c r="A3" s="8"/>
      <c r="B3" s="9"/>
    </row>
    <row r="4">
      <c r="A4" s="10" t="s">
        <v>13</v>
      </c>
      <c r="B4" s="13" t="s">
        <v>184</v>
      </c>
      <c r="C4" s="15"/>
    </row>
    <row r="5">
      <c r="A5" s="18"/>
      <c r="B5" s="11">
        <v>2019.0</v>
      </c>
      <c r="C5" s="11">
        <v>2024.0</v>
      </c>
    </row>
    <row r="6">
      <c r="A6" s="16"/>
      <c r="B6" s="20"/>
      <c r="C6" s="20"/>
    </row>
    <row r="7">
      <c r="A7" s="22" t="s">
        <v>33</v>
      </c>
      <c r="B7" s="44">
        <v>1280.59</v>
      </c>
      <c r="C7" s="44">
        <v>1069.1</v>
      </c>
    </row>
    <row r="8">
      <c r="A8" s="25" t="s">
        <v>38</v>
      </c>
      <c r="B8" s="45">
        <v>1505.08</v>
      </c>
      <c r="C8" s="45">
        <v>1290.9</v>
      </c>
    </row>
    <row r="9">
      <c r="A9" s="25" t="s">
        <v>41</v>
      </c>
      <c r="B9" s="45">
        <v>1057.47</v>
      </c>
      <c r="C9" s="45">
        <v>959.7</v>
      </c>
    </row>
    <row r="10">
      <c r="A10" s="25" t="s">
        <v>43</v>
      </c>
      <c r="B10" s="45">
        <v>1127.49</v>
      </c>
      <c r="C10" s="45">
        <v>981.2</v>
      </c>
    </row>
    <row r="11">
      <c r="A11" s="25" t="s">
        <v>44</v>
      </c>
      <c r="B11" s="45">
        <v>770.86</v>
      </c>
      <c r="C11" s="45">
        <v>814.9</v>
      </c>
    </row>
    <row r="12">
      <c r="A12" s="25" t="s">
        <v>46</v>
      </c>
      <c r="B12" s="45">
        <v>1192.08</v>
      </c>
      <c r="C12" s="45">
        <v>1009.2</v>
      </c>
    </row>
    <row r="13">
      <c r="A13" s="25" t="s">
        <v>48</v>
      </c>
      <c r="B13" s="45">
        <v>1453.23</v>
      </c>
      <c r="C13" s="45">
        <v>1244.2</v>
      </c>
    </row>
    <row r="14">
      <c r="A14" s="25" t="s">
        <v>50</v>
      </c>
      <c r="B14" s="45">
        <v>942.62</v>
      </c>
      <c r="C14" s="45">
        <v>999.0</v>
      </c>
    </row>
    <row r="15">
      <c r="A15" s="25" t="s">
        <v>51</v>
      </c>
      <c r="B15" s="45">
        <v>1042.11</v>
      </c>
      <c r="C15" s="45">
        <v>960.9</v>
      </c>
    </row>
    <row r="16">
      <c r="A16" s="25" t="s">
        <v>53</v>
      </c>
      <c r="B16" s="45">
        <v>1111.66</v>
      </c>
      <c r="C16" s="45">
        <v>1036.0</v>
      </c>
    </row>
    <row r="17">
      <c r="A17" s="25" t="s">
        <v>54</v>
      </c>
      <c r="B17" s="45">
        <v>1538.36</v>
      </c>
      <c r="C17" s="45">
        <v>1167.8</v>
      </c>
    </row>
    <row r="18">
      <c r="A18" s="25" t="s">
        <v>56</v>
      </c>
      <c r="B18" s="45">
        <v>704.95</v>
      </c>
      <c r="C18" s="45">
        <v>936.0</v>
      </c>
    </row>
    <row r="19">
      <c r="A19" s="25" t="s">
        <v>57</v>
      </c>
      <c r="B19" s="45">
        <v>1215.73</v>
      </c>
      <c r="C19" s="45">
        <v>865.4</v>
      </c>
    </row>
    <row r="20">
      <c r="A20" s="25" t="s">
        <v>59</v>
      </c>
      <c r="B20" s="45">
        <v>1289.88</v>
      </c>
      <c r="C20" s="45">
        <v>857.0</v>
      </c>
    </row>
    <row r="21" ht="15.75" customHeight="1">
      <c r="A21" s="25" t="s">
        <v>60</v>
      </c>
      <c r="B21" s="45">
        <v>1175.2</v>
      </c>
      <c r="C21" s="45">
        <v>854.2</v>
      </c>
    </row>
    <row r="22" ht="15.75" customHeight="1">
      <c r="A22" s="25" t="s">
        <v>63</v>
      </c>
      <c r="B22" s="45">
        <v>1106.63</v>
      </c>
      <c r="C22" s="45">
        <v>852.2</v>
      </c>
    </row>
    <row r="23" ht="15.75" customHeight="1">
      <c r="A23" s="25" t="s">
        <v>64</v>
      </c>
      <c r="B23" s="45">
        <v>1229.97</v>
      </c>
      <c r="C23" s="45">
        <v>870.5</v>
      </c>
    </row>
    <row r="24" ht="15.75" customHeight="1">
      <c r="A24" s="25" t="s">
        <v>65</v>
      </c>
      <c r="B24" s="45">
        <v>395.25</v>
      </c>
      <c r="C24" s="45">
        <v>583.0</v>
      </c>
    </row>
    <row r="25" ht="15.75" customHeight="1">
      <c r="A25" s="28"/>
      <c r="B25" s="28"/>
      <c r="C25" s="28"/>
    </row>
    <row r="26" ht="15.75" customHeight="1">
      <c r="A26" s="9"/>
      <c r="B26" s="9"/>
    </row>
    <row r="27" ht="15.75" customHeight="1">
      <c r="A27" s="29" t="s">
        <v>69</v>
      </c>
      <c r="B27" s="29"/>
      <c r="C27" s="29"/>
      <c r="D27" s="29"/>
      <c r="E27" s="30"/>
      <c r="F27" s="30"/>
      <c r="G27" s="30"/>
      <c r="H27" s="30"/>
      <c r="I27" s="30"/>
      <c r="J27" s="30"/>
      <c r="K27" s="30"/>
    </row>
    <row r="28" ht="15.75" customHeight="1">
      <c r="A28" s="29" t="s">
        <v>253</v>
      </c>
      <c r="B28" s="29"/>
      <c r="C28" s="29"/>
      <c r="D28" s="29"/>
      <c r="E28" s="30"/>
      <c r="F28" s="30"/>
      <c r="G28" s="30"/>
      <c r="H28" s="30"/>
      <c r="I28" s="30"/>
      <c r="J28" s="30"/>
      <c r="K28" s="30"/>
    </row>
    <row r="29" ht="15.75" customHeight="1">
      <c r="A29" s="32" t="s">
        <v>76</v>
      </c>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4:A5"/>
    <mergeCell ref="B4:C4"/>
    <mergeCell ref="A29:K29"/>
  </mergeCells>
  <hyperlinks>
    <hyperlink display="BACK TO LIST" location="LIST!A1" ref="A1"/>
  </hyperlinks>
  <printOptions/>
  <pageMargins bottom="0.75" footer="0.0" header="0.0" left="0.7" right="0.7" top="0.75"/>
  <pageSetup orientation="landscape"/>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9"/>
    <pageSetUpPr/>
  </sheetPr>
  <sheetViews>
    <sheetView workbookViewId="0"/>
  </sheetViews>
  <sheetFormatPr customHeight="1" defaultColWidth="12.63" defaultRowHeight="15.0"/>
  <cols>
    <col customWidth="1" min="1" max="1" width="39.0"/>
    <col customWidth="1" min="2" max="18" width="14.0"/>
    <col customWidth="1" min="19" max="26" width="8.63"/>
  </cols>
  <sheetData>
    <row r="1">
      <c r="A1" s="5" t="s">
        <v>1</v>
      </c>
    </row>
    <row r="2" ht="15.0" customHeight="1">
      <c r="A2" s="33" t="s">
        <v>254</v>
      </c>
      <c r="B2" s="6"/>
      <c r="C2" s="6"/>
      <c r="D2" s="6"/>
      <c r="E2" s="6"/>
      <c r="F2" s="6"/>
      <c r="G2" s="6"/>
      <c r="H2" s="6"/>
      <c r="I2" s="6"/>
      <c r="J2" s="6"/>
      <c r="K2" s="6"/>
      <c r="L2" s="6"/>
      <c r="M2" s="6"/>
      <c r="N2" s="6"/>
      <c r="O2" s="6"/>
      <c r="P2" s="6"/>
    </row>
    <row r="3">
      <c r="A3" s="8"/>
      <c r="B3" s="9"/>
      <c r="C3" s="9"/>
      <c r="D3" s="9"/>
      <c r="E3" s="9"/>
      <c r="F3" s="9"/>
      <c r="G3" s="9"/>
      <c r="H3" s="9"/>
      <c r="I3" s="9"/>
      <c r="J3" s="9"/>
      <c r="K3" s="9"/>
      <c r="L3" s="9"/>
      <c r="M3" s="9"/>
      <c r="N3" s="9"/>
      <c r="O3" s="9"/>
      <c r="P3" s="9"/>
    </row>
    <row r="4">
      <c r="A4" s="10" t="s">
        <v>13</v>
      </c>
      <c r="B4" s="12">
        <v>2019.0</v>
      </c>
      <c r="C4" s="14"/>
      <c r="D4" s="14"/>
      <c r="E4" s="14"/>
      <c r="F4" s="14"/>
      <c r="G4" s="14"/>
      <c r="H4" s="14"/>
      <c r="I4" s="14"/>
      <c r="J4" s="14"/>
      <c r="K4" s="14"/>
      <c r="L4" s="14"/>
      <c r="M4" s="14"/>
      <c r="N4" s="14"/>
      <c r="O4" s="14"/>
      <c r="P4" s="14"/>
      <c r="Q4" s="14"/>
      <c r="R4" s="15"/>
    </row>
    <row r="5">
      <c r="A5" s="17"/>
      <c r="B5" s="48" t="s">
        <v>143</v>
      </c>
      <c r="C5" s="49" t="s">
        <v>256</v>
      </c>
      <c r="D5" s="37"/>
      <c r="E5" s="13" t="s">
        <v>258</v>
      </c>
      <c r="F5" s="14"/>
      <c r="G5" s="14"/>
      <c r="H5" s="14"/>
      <c r="I5" s="14"/>
      <c r="J5" s="14"/>
      <c r="K5" s="14"/>
      <c r="L5" s="14"/>
      <c r="M5" s="14"/>
      <c r="N5" s="14"/>
      <c r="O5" s="14"/>
      <c r="P5" s="14"/>
      <c r="Q5" s="14"/>
      <c r="R5" s="15"/>
    </row>
    <row r="6">
      <c r="A6" s="17"/>
      <c r="B6" s="50"/>
      <c r="C6" s="39"/>
      <c r="D6" s="40"/>
      <c r="E6" s="13" t="s">
        <v>196</v>
      </c>
      <c r="F6" s="15"/>
      <c r="G6" s="13" t="s">
        <v>197</v>
      </c>
      <c r="H6" s="15"/>
      <c r="I6" s="13" t="s">
        <v>200</v>
      </c>
      <c r="J6" s="15"/>
      <c r="K6" s="13" t="s">
        <v>19</v>
      </c>
      <c r="L6" s="15"/>
      <c r="M6" s="13" t="s">
        <v>259</v>
      </c>
      <c r="N6" s="15"/>
      <c r="O6" s="13" t="s">
        <v>85</v>
      </c>
      <c r="P6" s="15"/>
      <c r="Q6" s="13" t="s">
        <v>170</v>
      </c>
      <c r="R6" s="15"/>
    </row>
    <row r="7">
      <c r="A7" s="18"/>
      <c r="B7" s="40"/>
      <c r="C7" s="24" t="s">
        <v>37</v>
      </c>
      <c r="D7" s="24" t="s">
        <v>39</v>
      </c>
      <c r="E7" s="24" t="s">
        <v>37</v>
      </c>
      <c r="F7" s="24" t="s">
        <v>39</v>
      </c>
      <c r="G7" s="24" t="s">
        <v>37</v>
      </c>
      <c r="H7" s="24" t="s">
        <v>39</v>
      </c>
      <c r="I7" s="24" t="s">
        <v>37</v>
      </c>
      <c r="J7" s="24" t="s">
        <v>39</v>
      </c>
      <c r="K7" s="24" t="s">
        <v>37</v>
      </c>
      <c r="L7" s="24" t="s">
        <v>39</v>
      </c>
      <c r="M7" s="24" t="s">
        <v>37</v>
      </c>
      <c r="N7" s="24" t="s">
        <v>39</v>
      </c>
      <c r="O7" s="24" t="s">
        <v>37</v>
      </c>
      <c r="P7" s="24" t="s">
        <v>39</v>
      </c>
      <c r="Q7" s="24" t="s">
        <v>37</v>
      </c>
      <c r="R7" s="24" t="s">
        <v>39</v>
      </c>
    </row>
    <row r="8">
      <c r="A8" s="16"/>
      <c r="B8" s="20"/>
      <c r="C8" s="20"/>
      <c r="D8" s="20"/>
      <c r="E8" s="20"/>
      <c r="F8" s="20"/>
      <c r="G8" s="20"/>
      <c r="H8" s="20"/>
      <c r="I8" s="20"/>
      <c r="J8" s="20"/>
      <c r="K8" s="20"/>
      <c r="L8" s="20"/>
      <c r="M8" s="20"/>
      <c r="N8" s="20"/>
      <c r="O8" s="20"/>
      <c r="P8" s="20"/>
      <c r="Q8" s="20"/>
      <c r="R8" s="20"/>
    </row>
    <row r="9">
      <c r="A9" s="22" t="s">
        <v>33</v>
      </c>
      <c r="B9" s="23">
        <f>'Estimated Totals'!D7</f>
        <v>83258836</v>
      </c>
      <c r="C9" s="23">
        <v>2.1118015227792002E7</v>
      </c>
      <c r="D9" s="27">
        <f t="shared" ref="D9:D26" si="1">C9/B9*100</f>
        <v>25.36429314</v>
      </c>
      <c r="E9" s="23">
        <v>6283612.0</v>
      </c>
      <c r="F9" s="27">
        <f t="shared" ref="F9:F26" si="2">E9/$C9*100</f>
        <v>29.75474699</v>
      </c>
      <c r="G9" s="23">
        <v>4080144.0</v>
      </c>
      <c r="H9" s="27">
        <f t="shared" ref="H9:H26" si="3">G9/$C9*100</f>
        <v>19.32067932</v>
      </c>
      <c r="I9" s="23">
        <v>1554805.0</v>
      </c>
      <c r="J9" s="27">
        <f t="shared" ref="J9:J26" si="4">I9/$C9*100</f>
        <v>7.362457993</v>
      </c>
      <c r="K9" s="23">
        <v>1.7968016E7</v>
      </c>
      <c r="L9" s="27">
        <f t="shared" ref="L9:L26" si="5">K9/$C9*100</f>
        <v>85.08382917</v>
      </c>
      <c r="M9" s="23">
        <v>90799.0</v>
      </c>
      <c r="N9" s="27">
        <f t="shared" ref="N9:N26" si="6">M9/$C9*100</f>
        <v>0.4299599135</v>
      </c>
      <c r="O9" s="23">
        <v>120298.0</v>
      </c>
      <c r="P9" s="27">
        <f t="shared" ref="P9:P26" si="7">O9/$C9*100</f>
        <v>0.5696463361</v>
      </c>
      <c r="Q9" s="23">
        <v>71175.0</v>
      </c>
      <c r="R9" s="27">
        <f t="shared" ref="R9:R26" si="8">Q9/$C9*100</f>
        <v>0.3370345141</v>
      </c>
    </row>
    <row r="10">
      <c r="A10" s="25" t="s">
        <v>38</v>
      </c>
      <c r="B10" s="26">
        <f>'Estimated Totals'!D8</f>
        <v>11005073</v>
      </c>
      <c r="C10" s="26">
        <v>4434947.683279998</v>
      </c>
      <c r="D10" s="31">
        <f t="shared" si="1"/>
        <v>40.29912099</v>
      </c>
      <c r="E10" s="26">
        <v>1435017.0</v>
      </c>
      <c r="F10" s="31">
        <f t="shared" si="2"/>
        <v>32.35702205</v>
      </c>
      <c r="G10" s="26">
        <v>1080722.0</v>
      </c>
      <c r="H10" s="31">
        <f t="shared" si="3"/>
        <v>24.36831451</v>
      </c>
      <c r="I10" s="26">
        <v>268963.0</v>
      </c>
      <c r="J10" s="31">
        <f t="shared" si="4"/>
        <v>6.064626219</v>
      </c>
      <c r="K10" s="26">
        <v>3977919.0</v>
      </c>
      <c r="L10" s="31">
        <f t="shared" si="5"/>
        <v>89.69483485</v>
      </c>
      <c r="M10" s="26">
        <v>13887.0</v>
      </c>
      <c r="N10" s="31">
        <f t="shared" si="6"/>
        <v>0.3131265799</v>
      </c>
      <c r="O10" s="26">
        <v>23088.0</v>
      </c>
      <c r="P10" s="31">
        <f t="shared" si="7"/>
        <v>0.5205923869</v>
      </c>
      <c r="Q10" s="26">
        <v>495.0</v>
      </c>
      <c r="R10" s="31">
        <f t="shared" si="8"/>
        <v>0.01116134925</v>
      </c>
    </row>
    <row r="11">
      <c r="A11" s="25" t="s">
        <v>41</v>
      </c>
      <c r="B11" s="26">
        <f>'Estimated Totals'!D9</f>
        <v>1394660</v>
      </c>
      <c r="C11" s="26">
        <v>322391.19261700066</v>
      </c>
      <c r="D11" s="31">
        <f t="shared" si="1"/>
        <v>23.11611379</v>
      </c>
      <c r="E11" s="26">
        <v>80940.0</v>
      </c>
      <c r="F11" s="31">
        <f t="shared" si="2"/>
        <v>25.10614491</v>
      </c>
      <c r="G11" s="26">
        <v>58544.0</v>
      </c>
      <c r="H11" s="31">
        <f t="shared" si="3"/>
        <v>18.15930501</v>
      </c>
      <c r="I11" s="26">
        <v>15156.0</v>
      </c>
      <c r="J11" s="31">
        <f t="shared" si="4"/>
        <v>4.701120982</v>
      </c>
      <c r="K11" s="26">
        <v>271506.0</v>
      </c>
      <c r="L11" s="31">
        <f t="shared" si="5"/>
        <v>84.21632049</v>
      </c>
      <c r="M11" s="26">
        <v>215.0</v>
      </c>
      <c r="N11" s="31">
        <f t="shared" si="6"/>
        <v>0.06668916674</v>
      </c>
      <c r="O11" s="26">
        <v>0.0</v>
      </c>
      <c r="P11" s="31">
        <f t="shared" si="7"/>
        <v>0</v>
      </c>
      <c r="Q11" s="26">
        <v>0.0</v>
      </c>
      <c r="R11" s="31">
        <f t="shared" si="8"/>
        <v>0</v>
      </c>
    </row>
    <row r="12">
      <c r="A12" s="25" t="s">
        <v>43</v>
      </c>
      <c r="B12" s="26">
        <f>'Estimated Totals'!D10</f>
        <v>4063052</v>
      </c>
      <c r="C12" s="26">
        <v>1269147.599349999</v>
      </c>
      <c r="D12" s="31">
        <f t="shared" si="1"/>
        <v>31.236312</v>
      </c>
      <c r="E12" s="26">
        <v>134704.0</v>
      </c>
      <c r="F12" s="31">
        <f t="shared" si="2"/>
        <v>10.61373792</v>
      </c>
      <c r="G12" s="26">
        <v>191607.0</v>
      </c>
      <c r="H12" s="31">
        <f t="shared" si="3"/>
        <v>15.09729838</v>
      </c>
      <c r="I12" s="26">
        <v>119249.0</v>
      </c>
      <c r="J12" s="31">
        <f t="shared" si="4"/>
        <v>9.395991456</v>
      </c>
      <c r="K12" s="26">
        <v>1184048.0</v>
      </c>
      <c r="L12" s="31">
        <f t="shared" si="5"/>
        <v>93.2947437</v>
      </c>
      <c r="M12" s="26">
        <v>2480.0</v>
      </c>
      <c r="N12" s="31">
        <f t="shared" si="6"/>
        <v>0.195406744</v>
      </c>
      <c r="O12" s="26">
        <v>2975.0</v>
      </c>
      <c r="P12" s="31">
        <f t="shared" si="7"/>
        <v>0.2344092997</v>
      </c>
      <c r="Q12" s="26">
        <v>58880.0</v>
      </c>
      <c r="R12" s="31">
        <f t="shared" si="8"/>
        <v>4.639334308</v>
      </c>
    </row>
    <row r="13">
      <c r="A13" s="25" t="s">
        <v>44</v>
      </c>
      <c r="B13" s="26">
        <f>'Estimated Totals'!D11</f>
        <v>2820240</v>
      </c>
      <c r="C13" s="26">
        <v>608713.3621390008</v>
      </c>
      <c r="D13" s="31">
        <f t="shared" si="1"/>
        <v>21.5837433</v>
      </c>
      <c r="E13" s="26">
        <v>62439.0</v>
      </c>
      <c r="F13" s="31">
        <f t="shared" si="2"/>
        <v>10.25753727</v>
      </c>
      <c r="G13" s="26">
        <v>119181.0</v>
      </c>
      <c r="H13" s="31">
        <f t="shared" si="3"/>
        <v>19.57916606</v>
      </c>
      <c r="I13" s="26">
        <v>28414.0</v>
      </c>
      <c r="J13" s="31">
        <f t="shared" si="4"/>
        <v>4.667878474</v>
      </c>
      <c r="K13" s="26">
        <v>499337.0</v>
      </c>
      <c r="L13" s="31">
        <f t="shared" si="5"/>
        <v>82.03154901</v>
      </c>
      <c r="M13" s="26">
        <v>0.0</v>
      </c>
      <c r="N13" s="31">
        <f t="shared" si="6"/>
        <v>0</v>
      </c>
      <c r="O13" s="26">
        <v>0.0</v>
      </c>
      <c r="P13" s="31">
        <f t="shared" si="7"/>
        <v>0</v>
      </c>
      <c r="Q13" s="26">
        <v>0.0</v>
      </c>
      <c r="R13" s="31">
        <f t="shared" si="8"/>
        <v>0</v>
      </c>
    </row>
    <row r="14">
      <c r="A14" s="25" t="s">
        <v>46</v>
      </c>
      <c r="B14" s="26">
        <f>'Estimated Totals'!D12</f>
        <v>9585315</v>
      </c>
      <c r="C14" s="26">
        <v>3210821.0527700037</v>
      </c>
      <c r="D14" s="31">
        <f t="shared" si="1"/>
        <v>33.49729302</v>
      </c>
      <c r="E14" s="26">
        <v>589483.0</v>
      </c>
      <c r="F14" s="31">
        <f t="shared" si="2"/>
        <v>18.35926046</v>
      </c>
      <c r="G14" s="26">
        <v>472449.0</v>
      </c>
      <c r="H14" s="31">
        <f t="shared" si="3"/>
        <v>14.71427377</v>
      </c>
      <c r="I14" s="26">
        <v>254745.0</v>
      </c>
      <c r="J14" s="31">
        <f t="shared" si="4"/>
        <v>7.933951965</v>
      </c>
      <c r="K14" s="26">
        <v>2954872.0</v>
      </c>
      <c r="L14" s="31">
        <f t="shared" si="5"/>
        <v>92.02854819</v>
      </c>
      <c r="M14" s="26">
        <v>538.0</v>
      </c>
      <c r="N14" s="31">
        <f t="shared" si="6"/>
        <v>0.01675583881</v>
      </c>
      <c r="O14" s="26">
        <v>0.0</v>
      </c>
      <c r="P14" s="31">
        <f t="shared" si="7"/>
        <v>0</v>
      </c>
      <c r="Q14" s="26">
        <v>3736.0</v>
      </c>
      <c r="R14" s="31">
        <f t="shared" si="8"/>
        <v>0.1163565312</v>
      </c>
    </row>
    <row r="15">
      <c r="A15" s="25" t="s">
        <v>48</v>
      </c>
      <c r="B15" s="26">
        <f>'Estimated Totals'!D13</f>
        <v>12457452</v>
      </c>
      <c r="C15" s="26">
        <v>4117581.2881100015</v>
      </c>
      <c r="D15" s="31">
        <f t="shared" si="1"/>
        <v>33.05315797</v>
      </c>
      <c r="E15" s="26">
        <v>1418151.0</v>
      </c>
      <c r="F15" s="31">
        <f t="shared" si="2"/>
        <v>34.44136013</v>
      </c>
      <c r="G15" s="26">
        <v>809043.0</v>
      </c>
      <c r="H15" s="31">
        <f t="shared" si="3"/>
        <v>19.64850099</v>
      </c>
      <c r="I15" s="26">
        <v>252285.0</v>
      </c>
      <c r="J15" s="31">
        <f t="shared" si="4"/>
        <v>6.127019295</v>
      </c>
      <c r="K15" s="26">
        <v>3586802.0</v>
      </c>
      <c r="L15" s="31">
        <f t="shared" si="5"/>
        <v>87.10943996</v>
      </c>
      <c r="M15" s="26">
        <v>18011.0</v>
      </c>
      <c r="N15" s="31">
        <f t="shared" si="6"/>
        <v>0.4374169868</v>
      </c>
      <c r="O15" s="26">
        <v>42216.0</v>
      </c>
      <c r="P15" s="31">
        <f t="shared" si="7"/>
        <v>1.025262091</v>
      </c>
      <c r="Q15" s="26">
        <v>1294.0</v>
      </c>
      <c r="R15" s="31">
        <f t="shared" si="8"/>
        <v>0.03142621625</v>
      </c>
    </row>
    <row r="16">
      <c r="A16" s="25" t="s">
        <v>50</v>
      </c>
      <c r="B16" s="26">
        <f>'Estimated Totals'!D14</f>
        <v>2347582</v>
      </c>
      <c r="C16" s="26">
        <v>437023.2581300002</v>
      </c>
      <c r="D16" s="31">
        <f t="shared" si="1"/>
        <v>18.61588895</v>
      </c>
      <c r="E16" s="26">
        <v>102369.0</v>
      </c>
      <c r="F16" s="31">
        <f t="shared" si="2"/>
        <v>23.42415377</v>
      </c>
      <c r="G16" s="26">
        <v>80926.0</v>
      </c>
      <c r="H16" s="31">
        <f t="shared" si="3"/>
        <v>18.51754992</v>
      </c>
      <c r="I16" s="26">
        <v>30435.0</v>
      </c>
      <c r="J16" s="31">
        <f t="shared" si="4"/>
        <v>6.964160244</v>
      </c>
      <c r="K16" s="26">
        <v>390569.0</v>
      </c>
      <c r="L16" s="31">
        <f t="shared" si="5"/>
        <v>89.37030072</v>
      </c>
      <c r="M16" s="26">
        <v>329.0</v>
      </c>
      <c r="N16" s="31">
        <f t="shared" si="6"/>
        <v>0.07528203451</v>
      </c>
      <c r="O16" s="26">
        <v>4385.0</v>
      </c>
      <c r="P16" s="31">
        <f t="shared" si="7"/>
        <v>1.003379092</v>
      </c>
      <c r="Q16" s="26">
        <v>750.0</v>
      </c>
      <c r="R16" s="31">
        <f t="shared" si="8"/>
        <v>0.1716155802</v>
      </c>
    </row>
    <row r="17">
      <c r="A17" s="25" t="s">
        <v>51</v>
      </c>
      <c r="B17" s="26">
        <f>'Estimated Totals'!D15</f>
        <v>4528646</v>
      </c>
      <c r="C17" s="26">
        <v>795978.5354400002</v>
      </c>
      <c r="D17" s="31">
        <f t="shared" si="1"/>
        <v>17.57652365</v>
      </c>
      <c r="E17" s="26">
        <v>385324.0</v>
      </c>
      <c r="F17" s="31">
        <f t="shared" si="2"/>
        <v>48.40884306</v>
      </c>
      <c r="G17" s="26">
        <v>237671.0</v>
      </c>
      <c r="H17" s="31">
        <f t="shared" si="3"/>
        <v>29.85897099</v>
      </c>
      <c r="I17" s="26">
        <v>132115.0</v>
      </c>
      <c r="J17" s="31">
        <f t="shared" si="4"/>
        <v>16.59780938</v>
      </c>
      <c r="K17" s="26">
        <v>550822.0</v>
      </c>
      <c r="L17" s="31">
        <f t="shared" si="5"/>
        <v>69.20060975</v>
      </c>
      <c r="M17" s="26">
        <v>418.0</v>
      </c>
      <c r="N17" s="31">
        <f t="shared" si="6"/>
        <v>0.05251397888</v>
      </c>
      <c r="O17" s="26">
        <v>2357.0</v>
      </c>
      <c r="P17" s="31">
        <f t="shared" si="7"/>
        <v>0.2961135125</v>
      </c>
      <c r="Q17" s="26">
        <v>0.0</v>
      </c>
      <c r="R17" s="31">
        <f t="shared" si="8"/>
        <v>0</v>
      </c>
    </row>
    <row r="18">
      <c r="A18" s="25" t="s">
        <v>53</v>
      </c>
      <c r="B18" s="26">
        <f>'Estimated Totals'!D16</f>
        <v>6087553</v>
      </c>
      <c r="C18" s="26">
        <v>1148816.0243000009</v>
      </c>
      <c r="D18" s="31">
        <f t="shared" si="1"/>
        <v>18.87155684</v>
      </c>
      <c r="E18" s="26">
        <v>298164.0</v>
      </c>
      <c r="F18" s="31">
        <f t="shared" si="2"/>
        <v>25.95402516</v>
      </c>
      <c r="G18" s="26">
        <v>204659.0</v>
      </c>
      <c r="H18" s="31">
        <f t="shared" si="3"/>
        <v>17.81477588</v>
      </c>
      <c r="I18" s="26">
        <v>96883.0</v>
      </c>
      <c r="J18" s="31">
        <f t="shared" si="4"/>
        <v>8.433291141</v>
      </c>
      <c r="K18" s="26">
        <v>929207.0</v>
      </c>
      <c r="L18" s="31">
        <f t="shared" si="5"/>
        <v>80.88388222</v>
      </c>
      <c r="M18" s="26">
        <v>0.0</v>
      </c>
      <c r="N18" s="31">
        <f t="shared" si="6"/>
        <v>0</v>
      </c>
      <c r="O18" s="26">
        <v>2131.0</v>
      </c>
      <c r="P18" s="31">
        <f t="shared" si="7"/>
        <v>0.1854953234</v>
      </c>
      <c r="Q18" s="26">
        <v>0.0</v>
      </c>
      <c r="R18" s="31">
        <f t="shared" si="8"/>
        <v>0</v>
      </c>
    </row>
    <row r="19">
      <c r="A19" s="25" t="s">
        <v>54</v>
      </c>
      <c r="B19" s="26">
        <f>'Estimated Totals'!D17</f>
        <v>6058752</v>
      </c>
      <c r="C19" s="26">
        <v>847079.1793600003</v>
      </c>
      <c r="D19" s="31">
        <f t="shared" si="1"/>
        <v>13.98108355</v>
      </c>
      <c r="E19" s="26">
        <v>375014.0</v>
      </c>
      <c r="F19" s="31">
        <f t="shared" si="2"/>
        <v>44.27142222</v>
      </c>
      <c r="G19" s="26">
        <v>172865.0</v>
      </c>
      <c r="H19" s="31">
        <f t="shared" si="3"/>
        <v>20.4071832</v>
      </c>
      <c r="I19" s="26">
        <v>91573.0</v>
      </c>
      <c r="J19" s="31">
        <f t="shared" si="4"/>
        <v>10.8104416</v>
      </c>
      <c r="K19" s="26">
        <v>575454.0</v>
      </c>
      <c r="L19" s="31">
        <f t="shared" si="5"/>
        <v>67.93390913</v>
      </c>
      <c r="M19" s="26">
        <v>10113.0</v>
      </c>
      <c r="N19" s="31">
        <f t="shared" si="6"/>
        <v>1.193867143</v>
      </c>
      <c r="O19" s="26">
        <v>24631.0</v>
      </c>
      <c r="P19" s="31">
        <f t="shared" si="7"/>
        <v>2.907756512</v>
      </c>
      <c r="Q19" s="26">
        <v>2394.0</v>
      </c>
      <c r="R19" s="31">
        <f t="shared" si="8"/>
        <v>0.2826182083</v>
      </c>
    </row>
    <row r="20">
      <c r="A20" s="25" t="s">
        <v>56</v>
      </c>
      <c r="B20" s="26">
        <f>'Estimated Totals'!D18</f>
        <v>3529248</v>
      </c>
      <c r="C20" s="26">
        <v>1032784.6752500004</v>
      </c>
      <c r="D20" s="31">
        <f t="shared" si="1"/>
        <v>29.2635903</v>
      </c>
      <c r="E20" s="26">
        <v>227143.0</v>
      </c>
      <c r="F20" s="31">
        <f t="shared" si="2"/>
        <v>21.99325817</v>
      </c>
      <c r="G20" s="26">
        <v>169253.0</v>
      </c>
      <c r="H20" s="31">
        <f t="shared" si="3"/>
        <v>16.38802396</v>
      </c>
      <c r="I20" s="26">
        <v>60538.0</v>
      </c>
      <c r="J20" s="31">
        <f t="shared" si="4"/>
        <v>5.861628416</v>
      </c>
      <c r="K20" s="26">
        <v>859250.0</v>
      </c>
      <c r="L20" s="31">
        <f t="shared" si="5"/>
        <v>83.19740025</v>
      </c>
      <c r="M20" s="26">
        <v>2026.0</v>
      </c>
      <c r="N20" s="31">
        <f t="shared" si="6"/>
        <v>0.1961686737</v>
      </c>
      <c r="O20" s="26">
        <v>0.0</v>
      </c>
      <c r="P20" s="31">
        <f t="shared" si="7"/>
        <v>0</v>
      </c>
      <c r="Q20" s="26">
        <v>2782.0</v>
      </c>
      <c r="R20" s="31">
        <f t="shared" si="8"/>
        <v>0.2693688304</v>
      </c>
    </row>
    <row r="21" ht="15.75" customHeight="1">
      <c r="A21" s="25" t="s">
        <v>57</v>
      </c>
      <c r="B21" s="26">
        <f>'Estimated Totals'!D19</f>
        <v>2856878</v>
      </c>
      <c r="C21" s="26">
        <v>468435.53889999975</v>
      </c>
      <c r="D21" s="31">
        <f t="shared" si="1"/>
        <v>16.39676384</v>
      </c>
      <c r="E21" s="26">
        <v>171544.0</v>
      </c>
      <c r="F21" s="31">
        <f t="shared" si="2"/>
        <v>36.62062029</v>
      </c>
      <c r="G21" s="26">
        <v>76836.0</v>
      </c>
      <c r="H21" s="31">
        <f t="shared" si="3"/>
        <v>16.40268375</v>
      </c>
      <c r="I21" s="26">
        <v>31804.0</v>
      </c>
      <c r="J21" s="31">
        <f t="shared" si="4"/>
        <v>6.78940801</v>
      </c>
      <c r="K21" s="26">
        <v>361582.0</v>
      </c>
      <c r="L21" s="31">
        <f t="shared" si="5"/>
        <v>77.18927579</v>
      </c>
      <c r="M21" s="26">
        <v>0.0</v>
      </c>
      <c r="N21" s="31">
        <f t="shared" si="6"/>
        <v>0</v>
      </c>
      <c r="O21" s="26">
        <v>1575.0</v>
      </c>
      <c r="P21" s="31">
        <f t="shared" si="7"/>
        <v>0.336225557</v>
      </c>
      <c r="Q21" s="26">
        <v>0.0</v>
      </c>
      <c r="R21" s="31">
        <f t="shared" si="8"/>
        <v>0</v>
      </c>
    </row>
    <row r="22" ht="15.75" customHeight="1">
      <c r="A22" s="25" t="s">
        <v>59</v>
      </c>
      <c r="B22" s="26">
        <f>'Estimated Totals'!D20</f>
        <v>3802692</v>
      </c>
      <c r="C22" s="26">
        <v>436933.25559</v>
      </c>
      <c r="D22" s="31">
        <f t="shared" si="1"/>
        <v>11.49010374</v>
      </c>
      <c r="E22" s="26">
        <v>219016.0</v>
      </c>
      <c r="F22" s="31">
        <f t="shared" si="2"/>
        <v>50.12573367</v>
      </c>
      <c r="G22" s="26">
        <v>68931.0</v>
      </c>
      <c r="H22" s="31">
        <f t="shared" si="3"/>
        <v>15.77609374</v>
      </c>
      <c r="I22" s="26">
        <v>27440.0</v>
      </c>
      <c r="J22" s="31">
        <f t="shared" si="4"/>
        <v>6.280135387</v>
      </c>
      <c r="K22" s="26">
        <v>320130.0</v>
      </c>
      <c r="L22" s="31">
        <f t="shared" si="5"/>
        <v>73.26748328</v>
      </c>
      <c r="M22" s="26">
        <v>3871.0</v>
      </c>
      <c r="N22" s="31">
        <f t="shared" si="6"/>
        <v>0.8859476706</v>
      </c>
      <c r="O22" s="26">
        <v>191.0</v>
      </c>
      <c r="P22" s="31">
        <f t="shared" si="7"/>
        <v>0.04371377037</v>
      </c>
      <c r="Q22" s="26">
        <v>0.0</v>
      </c>
      <c r="R22" s="31">
        <f t="shared" si="8"/>
        <v>0</v>
      </c>
    </row>
    <row r="23" ht="15.75" customHeight="1">
      <c r="A23" s="25" t="s">
        <v>60</v>
      </c>
      <c r="B23" s="26">
        <f>'Estimated Totals'!D21</f>
        <v>4022390</v>
      </c>
      <c r="C23" s="26">
        <v>696681.6874700001</v>
      </c>
      <c r="D23" s="31">
        <f t="shared" si="1"/>
        <v>17.32009297</v>
      </c>
      <c r="E23" s="26">
        <v>278163.0</v>
      </c>
      <c r="F23" s="31">
        <f t="shared" si="2"/>
        <v>39.92684249</v>
      </c>
      <c r="G23" s="26">
        <v>138949.0</v>
      </c>
      <c r="H23" s="31">
        <f t="shared" si="3"/>
        <v>19.94440252</v>
      </c>
      <c r="I23" s="26">
        <v>77366.0</v>
      </c>
      <c r="J23" s="31">
        <f t="shared" si="4"/>
        <v>11.10492803</v>
      </c>
      <c r="K23" s="26">
        <v>537298.0</v>
      </c>
      <c r="L23" s="31">
        <f t="shared" si="5"/>
        <v>77.122452</v>
      </c>
      <c r="M23" s="26">
        <v>10796.0</v>
      </c>
      <c r="N23" s="31">
        <f t="shared" si="6"/>
        <v>1.54963166</v>
      </c>
      <c r="O23" s="26">
        <v>10060.0</v>
      </c>
      <c r="P23" s="31">
        <f t="shared" si="7"/>
        <v>1.443988005</v>
      </c>
      <c r="Q23" s="26">
        <v>0.0</v>
      </c>
      <c r="R23" s="31">
        <f t="shared" si="8"/>
        <v>0</v>
      </c>
    </row>
    <row r="24" ht="15.75" customHeight="1">
      <c r="A24" s="25" t="s">
        <v>63</v>
      </c>
      <c r="B24" s="26">
        <f>'Estimated Totals'!D22</f>
        <v>3705981</v>
      </c>
      <c r="C24" s="26">
        <v>924109.8131200004</v>
      </c>
      <c r="D24" s="31">
        <f t="shared" si="1"/>
        <v>24.93563278</v>
      </c>
      <c r="E24" s="26">
        <v>439950.0</v>
      </c>
      <c r="F24" s="31">
        <f t="shared" si="2"/>
        <v>47.60797838</v>
      </c>
      <c r="G24" s="26">
        <v>152094.0</v>
      </c>
      <c r="H24" s="31">
        <f t="shared" si="3"/>
        <v>16.4584336</v>
      </c>
      <c r="I24" s="26">
        <v>40013.0</v>
      </c>
      <c r="J24" s="31">
        <f t="shared" si="4"/>
        <v>4.329896667</v>
      </c>
      <c r="K24" s="26">
        <v>662960.0</v>
      </c>
      <c r="L24" s="31">
        <f t="shared" si="5"/>
        <v>71.74039174</v>
      </c>
      <c r="M24" s="26">
        <v>26687.0</v>
      </c>
      <c r="N24" s="31">
        <f t="shared" si="6"/>
        <v>2.887860254</v>
      </c>
      <c r="O24" s="26">
        <v>6363.0</v>
      </c>
      <c r="P24" s="31">
        <f t="shared" si="7"/>
        <v>0.6885545321</v>
      </c>
      <c r="Q24" s="26">
        <v>844.0</v>
      </c>
      <c r="R24" s="31">
        <f t="shared" si="8"/>
        <v>0.09133113706</v>
      </c>
    </row>
    <row r="25" ht="15.75" customHeight="1">
      <c r="A25" s="25" t="s">
        <v>64</v>
      </c>
      <c r="B25" s="26">
        <f>'Estimated Totals'!D23</f>
        <v>2050203</v>
      </c>
      <c r="C25" s="26">
        <v>235590.0180000001</v>
      </c>
      <c r="D25" s="31">
        <f t="shared" si="1"/>
        <v>11.4910581</v>
      </c>
      <c r="E25" s="26">
        <v>56959.0</v>
      </c>
      <c r="F25" s="31">
        <f t="shared" si="2"/>
        <v>24.17717036</v>
      </c>
      <c r="G25" s="26">
        <v>37491.0</v>
      </c>
      <c r="H25" s="31">
        <f t="shared" si="3"/>
        <v>15.91366235</v>
      </c>
      <c r="I25" s="26">
        <v>20566.0</v>
      </c>
      <c r="J25" s="31">
        <f t="shared" si="4"/>
        <v>8.729571896</v>
      </c>
      <c r="K25" s="26">
        <v>191429.0</v>
      </c>
      <c r="L25" s="31">
        <f t="shared" si="5"/>
        <v>81.25514044</v>
      </c>
      <c r="M25" s="26">
        <v>856.0</v>
      </c>
      <c r="N25" s="31">
        <f t="shared" si="6"/>
        <v>0.3633430683</v>
      </c>
      <c r="O25" s="26">
        <v>326.0</v>
      </c>
      <c r="P25" s="31">
        <f t="shared" si="7"/>
        <v>0.1383759816</v>
      </c>
      <c r="Q25" s="26">
        <v>0.0</v>
      </c>
      <c r="R25" s="31">
        <f t="shared" si="8"/>
        <v>0</v>
      </c>
    </row>
    <row r="26" ht="15.75" customHeight="1">
      <c r="A26" s="25" t="s">
        <v>65</v>
      </c>
      <c r="B26" s="26">
        <f>'Estimated Totals'!D24</f>
        <v>2943119</v>
      </c>
      <c r="C26" s="26">
        <v>130981.06396600002</v>
      </c>
      <c r="D26" s="31">
        <f t="shared" si="1"/>
        <v>4.450416853</v>
      </c>
      <c r="E26" s="26">
        <v>9231.0</v>
      </c>
      <c r="F26" s="31">
        <f t="shared" si="2"/>
        <v>7.047583613</v>
      </c>
      <c r="G26" s="26">
        <v>8921.0</v>
      </c>
      <c r="H26" s="31">
        <f t="shared" si="3"/>
        <v>6.81090818</v>
      </c>
      <c r="I26" s="26">
        <v>7260.0</v>
      </c>
      <c r="J26" s="31">
        <f t="shared" si="4"/>
        <v>5.542785942</v>
      </c>
      <c r="K26" s="26">
        <v>114832.0</v>
      </c>
      <c r="L26" s="31">
        <f t="shared" si="5"/>
        <v>87.67068805</v>
      </c>
      <c r="M26" s="26">
        <v>571.0</v>
      </c>
      <c r="N26" s="31">
        <f t="shared" si="6"/>
        <v>0.4359408778</v>
      </c>
      <c r="O26" s="26">
        <v>0.0</v>
      </c>
      <c r="P26" s="31">
        <f t="shared" si="7"/>
        <v>0</v>
      </c>
      <c r="Q26" s="26">
        <v>0.0</v>
      </c>
      <c r="R26" s="31">
        <f t="shared" si="8"/>
        <v>0</v>
      </c>
    </row>
    <row r="27" ht="15.75" customHeight="1">
      <c r="A27" s="28"/>
      <c r="B27" s="28"/>
      <c r="C27" s="28"/>
      <c r="D27" s="28"/>
      <c r="E27" s="28"/>
      <c r="F27" s="28"/>
      <c r="G27" s="28"/>
      <c r="H27" s="28"/>
      <c r="I27" s="28"/>
      <c r="J27" s="28"/>
      <c r="K27" s="28"/>
      <c r="L27" s="28"/>
      <c r="M27" s="28"/>
      <c r="N27" s="28"/>
      <c r="O27" s="28"/>
      <c r="P27" s="28"/>
      <c r="Q27" s="28"/>
      <c r="R27" s="28"/>
    </row>
    <row r="28" ht="15.75" customHeight="1">
      <c r="A28" s="8"/>
      <c r="B28" s="9"/>
      <c r="C28" s="9"/>
      <c r="D28" s="9"/>
      <c r="E28" s="9"/>
      <c r="F28" s="9"/>
      <c r="G28" s="9"/>
      <c r="H28" s="9"/>
      <c r="I28" s="9"/>
      <c r="J28" s="9"/>
      <c r="K28" s="9"/>
      <c r="L28" s="9"/>
      <c r="M28" s="9"/>
      <c r="N28" s="9"/>
      <c r="O28" s="9"/>
      <c r="P28" s="9"/>
    </row>
    <row r="29" ht="15.75" customHeight="1">
      <c r="A29" s="10" t="s">
        <v>13</v>
      </c>
      <c r="B29" s="12">
        <v>2024.0</v>
      </c>
      <c r="C29" s="14"/>
      <c r="D29" s="14"/>
      <c r="E29" s="14"/>
      <c r="F29" s="14"/>
      <c r="G29" s="14"/>
      <c r="H29" s="14"/>
      <c r="I29" s="14"/>
      <c r="J29" s="14"/>
      <c r="K29" s="14"/>
      <c r="L29" s="14"/>
      <c r="M29" s="14"/>
      <c r="N29" s="14"/>
      <c r="O29" s="14"/>
      <c r="P29" s="14"/>
      <c r="Q29" s="14"/>
      <c r="R29" s="15"/>
    </row>
    <row r="30" ht="15.0" customHeight="1">
      <c r="A30" s="17"/>
      <c r="B30" s="48" t="s">
        <v>143</v>
      </c>
      <c r="C30" s="49" t="s">
        <v>256</v>
      </c>
      <c r="D30" s="37"/>
      <c r="E30" s="13" t="s">
        <v>258</v>
      </c>
      <c r="F30" s="14"/>
      <c r="G30" s="14"/>
      <c r="H30" s="14"/>
      <c r="I30" s="14"/>
      <c r="J30" s="14"/>
      <c r="K30" s="14"/>
      <c r="L30" s="14"/>
      <c r="M30" s="14"/>
      <c r="N30" s="14"/>
      <c r="O30" s="14"/>
      <c r="P30" s="14"/>
      <c r="Q30" s="14"/>
      <c r="R30" s="15"/>
    </row>
    <row r="31" ht="15.0" customHeight="1">
      <c r="A31" s="17"/>
      <c r="B31" s="50"/>
      <c r="C31" s="39"/>
      <c r="D31" s="40"/>
      <c r="E31" s="13" t="s">
        <v>196</v>
      </c>
      <c r="F31" s="15"/>
      <c r="G31" s="13" t="s">
        <v>197</v>
      </c>
      <c r="H31" s="15"/>
      <c r="I31" s="13" t="s">
        <v>200</v>
      </c>
      <c r="J31" s="15"/>
      <c r="K31" s="13" t="s">
        <v>19</v>
      </c>
      <c r="L31" s="15"/>
      <c r="M31" s="13" t="s">
        <v>259</v>
      </c>
      <c r="N31" s="15"/>
      <c r="O31" s="13" t="s">
        <v>270</v>
      </c>
      <c r="P31" s="15"/>
      <c r="Q31" s="13" t="s">
        <v>170</v>
      </c>
      <c r="R31" s="15"/>
      <c r="T31" s="13"/>
      <c r="U31" s="15"/>
    </row>
    <row r="32" ht="15.75" customHeight="1">
      <c r="A32" s="18"/>
      <c r="B32" s="40"/>
      <c r="C32" s="24" t="s">
        <v>37</v>
      </c>
      <c r="D32" s="24" t="s">
        <v>39</v>
      </c>
      <c r="E32" s="24" t="s">
        <v>37</v>
      </c>
      <c r="F32" s="24" t="s">
        <v>39</v>
      </c>
      <c r="G32" s="24" t="s">
        <v>37</v>
      </c>
      <c r="H32" s="24" t="s">
        <v>39</v>
      </c>
      <c r="I32" s="24" t="s">
        <v>37</v>
      </c>
      <c r="J32" s="24" t="s">
        <v>39</v>
      </c>
      <c r="K32" s="24" t="s">
        <v>37</v>
      </c>
      <c r="L32" s="24" t="s">
        <v>39</v>
      </c>
      <c r="M32" s="24" t="s">
        <v>37</v>
      </c>
      <c r="N32" s="24" t="s">
        <v>39</v>
      </c>
      <c r="O32" s="24" t="s">
        <v>37</v>
      </c>
      <c r="P32" s="24" t="s">
        <v>39</v>
      </c>
      <c r="Q32" s="24" t="s">
        <v>37</v>
      </c>
      <c r="R32" s="24" t="s">
        <v>39</v>
      </c>
    </row>
    <row r="33" ht="15.75" customHeight="1">
      <c r="A33" s="16"/>
      <c r="B33" s="20"/>
      <c r="C33" s="20"/>
      <c r="D33" s="20"/>
      <c r="E33" s="20"/>
      <c r="F33" s="20"/>
      <c r="G33" s="20"/>
      <c r="H33" s="20"/>
      <c r="I33" s="20"/>
      <c r="J33" s="20"/>
      <c r="K33" s="20"/>
      <c r="L33" s="20"/>
      <c r="M33" s="20"/>
      <c r="N33" s="20"/>
      <c r="O33" s="20"/>
      <c r="P33" s="20"/>
      <c r="Q33" s="20"/>
      <c r="R33" s="20"/>
    </row>
    <row r="34" ht="15.75" customHeight="1">
      <c r="A34" s="22" t="s">
        <v>33</v>
      </c>
      <c r="B34" s="23">
        <v>9.1383228E7</v>
      </c>
      <c r="C34" s="23">
        <v>6.1457081E7</v>
      </c>
      <c r="D34" s="27">
        <f t="shared" ref="D34:D51" si="9">(C34/B34)*100</f>
        <v>67.25203557</v>
      </c>
      <c r="E34" s="23">
        <v>6145236.0</v>
      </c>
      <c r="F34" s="27">
        <f t="shared" ref="F34:F51" si="10">(E34/$C34)*100</f>
        <v>9.999231822</v>
      </c>
      <c r="G34" s="23">
        <v>9010693.0</v>
      </c>
      <c r="H34" s="27">
        <f t="shared" ref="H34:H51" si="11">(G34/$C34)*100</f>
        <v>14.66176534</v>
      </c>
      <c r="I34" s="23">
        <v>2575672.0</v>
      </c>
      <c r="J34" s="27">
        <f t="shared" ref="J34:J51" si="12">(I34/$C34)*100</f>
        <v>4.191009332</v>
      </c>
      <c r="K34" s="23">
        <v>6.0735509E7</v>
      </c>
      <c r="L34" s="27">
        <f t="shared" ref="L34:L51" si="13">(K34/$C34)*100</f>
        <v>98.82589282</v>
      </c>
      <c r="M34" s="23">
        <v>1448856.0</v>
      </c>
      <c r="N34" s="27">
        <f t="shared" ref="N34:N51" si="14">(M34/$C34)*100</f>
        <v>2.357508649</v>
      </c>
      <c r="O34" s="23">
        <v>6921298.0</v>
      </c>
      <c r="P34" s="27">
        <f t="shared" ref="P34:P51" si="15">(O34/$C34)*100</f>
        <v>11.2620025</v>
      </c>
      <c r="Q34" s="23">
        <v>70990.0</v>
      </c>
      <c r="R34" s="27">
        <f t="shared" ref="R34:R51" si="16">(Q34/$C34)*100</f>
        <v>0.1155115063</v>
      </c>
      <c r="S34" s="41"/>
      <c r="T34" s="41"/>
    </row>
    <row r="35" ht="15.75" customHeight="1">
      <c r="A35" s="25" t="s">
        <v>38</v>
      </c>
      <c r="B35" s="26">
        <v>1.1919468E7</v>
      </c>
      <c r="C35" s="26">
        <v>9448296.0</v>
      </c>
      <c r="D35" s="31">
        <f t="shared" si="9"/>
        <v>79.26776598</v>
      </c>
      <c r="E35" s="26">
        <v>1397898.0</v>
      </c>
      <c r="F35" s="31">
        <f t="shared" si="10"/>
        <v>14.79523927</v>
      </c>
      <c r="G35" s="26">
        <v>2085971.0</v>
      </c>
      <c r="H35" s="31">
        <f t="shared" si="11"/>
        <v>22.0777482</v>
      </c>
      <c r="I35" s="26">
        <v>600093.0</v>
      </c>
      <c r="J35" s="31">
        <f t="shared" si="12"/>
        <v>6.351335733</v>
      </c>
      <c r="K35" s="26">
        <v>9311668.0</v>
      </c>
      <c r="L35" s="31">
        <f t="shared" si="13"/>
        <v>98.55394031</v>
      </c>
      <c r="M35" s="26">
        <v>393095.0</v>
      </c>
      <c r="N35" s="31">
        <f t="shared" si="14"/>
        <v>4.160485658</v>
      </c>
      <c r="O35" s="26">
        <v>2512366.0</v>
      </c>
      <c r="P35" s="31">
        <f t="shared" si="15"/>
        <v>26.59067836</v>
      </c>
      <c r="Q35" s="26">
        <v>0.0</v>
      </c>
      <c r="R35" s="31">
        <f t="shared" si="16"/>
        <v>0</v>
      </c>
      <c r="S35" s="41"/>
      <c r="T35" s="41"/>
    </row>
    <row r="36" ht="15.75" customHeight="1">
      <c r="A36" s="25" t="s">
        <v>41</v>
      </c>
      <c r="B36" s="26">
        <v>1496049.0</v>
      </c>
      <c r="C36" s="26">
        <v>1074349.0</v>
      </c>
      <c r="D36" s="31">
        <f t="shared" si="9"/>
        <v>71.81242058</v>
      </c>
      <c r="E36" s="26">
        <v>98298.0</v>
      </c>
      <c r="F36" s="31">
        <f t="shared" si="10"/>
        <v>9.149540792</v>
      </c>
      <c r="G36" s="26">
        <v>148652.0</v>
      </c>
      <c r="H36" s="31">
        <f t="shared" si="11"/>
        <v>13.83647213</v>
      </c>
      <c r="I36" s="26">
        <v>40251.0</v>
      </c>
      <c r="J36" s="31">
        <f t="shared" si="12"/>
        <v>3.746547909</v>
      </c>
      <c r="K36" s="26">
        <v>1066606.0</v>
      </c>
      <c r="L36" s="31">
        <f t="shared" si="13"/>
        <v>99.27928448</v>
      </c>
      <c r="M36" s="26">
        <v>14579.0</v>
      </c>
      <c r="N36" s="31">
        <f t="shared" si="14"/>
        <v>1.357007825</v>
      </c>
      <c r="O36" s="26">
        <v>51019.0</v>
      </c>
      <c r="P36" s="31">
        <f t="shared" si="15"/>
        <v>4.748829291</v>
      </c>
      <c r="Q36" s="26">
        <v>0.0</v>
      </c>
      <c r="R36" s="31">
        <f t="shared" si="16"/>
        <v>0</v>
      </c>
      <c r="S36" s="41"/>
      <c r="T36" s="41"/>
    </row>
    <row r="37" ht="15.75" customHeight="1">
      <c r="A37" s="25" t="s">
        <v>43</v>
      </c>
      <c r="B37" s="26">
        <v>4389510.0</v>
      </c>
      <c r="C37" s="26">
        <v>3260630.0</v>
      </c>
      <c r="D37" s="31">
        <f t="shared" si="9"/>
        <v>74.28232308</v>
      </c>
      <c r="E37" s="26">
        <v>266545.0</v>
      </c>
      <c r="F37" s="31">
        <f t="shared" si="10"/>
        <v>8.174647231</v>
      </c>
      <c r="G37" s="26">
        <v>334970.0</v>
      </c>
      <c r="H37" s="31">
        <f t="shared" si="11"/>
        <v>10.27316807</v>
      </c>
      <c r="I37" s="26">
        <v>150418.0</v>
      </c>
      <c r="J37" s="31">
        <f t="shared" si="12"/>
        <v>4.61315758</v>
      </c>
      <c r="K37" s="26">
        <v>3232401.0</v>
      </c>
      <c r="L37" s="31">
        <f t="shared" si="13"/>
        <v>99.13424706</v>
      </c>
      <c r="M37" s="26">
        <v>63718.0</v>
      </c>
      <c r="N37" s="31">
        <f t="shared" si="14"/>
        <v>1.954162232</v>
      </c>
      <c r="O37" s="26">
        <v>88812.0</v>
      </c>
      <c r="P37" s="31">
        <f t="shared" si="15"/>
        <v>2.723768106</v>
      </c>
      <c r="Q37" s="26">
        <v>0.0</v>
      </c>
      <c r="R37" s="31">
        <f t="shared" si="16"/>
        <v>0</v>
      </c>
      <c r="S37" s="41"/>
      <c r="T37" s="41"/>
    </row>
    <row r="38" ht="15.75" customHeight="1">
      <c r="A38" s="25" t="s">
        <v>44</v>
      </c>
      <c r="B38" s="26">
        <v>3055894.0</v>
      </c>
      <c r="C38" s="26">
        <v>2290016.0</v>
      </c>
      <c r="D38" s="31">
        <f t="shared" si="9"/>
        <v>74.93767781</v>
      </c>
      <c r="E38" s="26">
        <v>136204.0</v>
      </c>
      <c r="F38" s="31">
        <f t="shared" si="10"/>
        <v>5.94773137</v>
      </c>
      <c r="G38" s="26">
        <v>338756.0</v>
      </c>
      <c r="H38" s="31">
        <f t="shared" si="11"/>
        <v>14.79273507</v>
      </c>
      <c r="I38" s="26">
        <v>96576.0</v>
      </c>
      <c r="J38" s="31">
        <f t="shared" si="12"/>
        <v>4.217263111</v>
      </c>
      <c r="K38" s="26">
        <v>2275838.0</v>
      </c>
      <c r="L38" s="31">
        <f t="shared" si="13"/>
        <v>99.38087769</v>
      </c>
      <c r="M38" s="26">
        <v>13952.0</v>
      </c>
      <c r="N38" s="31">
        <f t="shared" si="14"/>
        <v>0.6092533851</v>
      </c>
      <c r="O38" s="26">
        <v>137545.0</v>
      </c>
      <c r="P38" s="31">
        <f t="shared" si="15"/>
        <v>6.006289912</v>
      </c>
      <c r="Q38" s="26">
        <v>8299.0</v>
      </c>
      <c r="R38" s="31">
        <f t="shared" si="16"/>
        <v>0.3623992147</v>
      </c>
      <c r="S38" s="41"/>
      <c r="T38" s="41"/>
    </row>
    <row r="39" ht="15.75" customHeight="1">
      <c r="A39" s="25" t="s">
        <v>46</v>
      </c>
      <c r="B39" s="26">
        <v>1.070829E7</v>
      </c>
      <c r="C39" s="26">
        <v>7926396.0</v>
      </c>
      <c r="D39" s="31">
        <f t="shared" si="9"/>
        <v>74.02111822</v>
      </c>
      <c r="E39" s="26">
        <v>619467.0</v>
      </c>
      <c r="F39" s="31">
        <f t="shared" si="10"/>
        <v>7.815241631</v>
      </c>
      <c r="G39" s="26">
        <v>1180215.0</v>
      </c>
      <c r="H39" s="31">
        <f t="shared" si="11"/>
        <v>14.88968</v>
      </c>
      <c r="I39" s="26">
        <v>321406.0</v>
      </c>
      <c r="J39" s="31">
        <f t="shared" si="12"/>
        <v>4.054881941</v>
      </c>
      <c r="K39" s="26">
        <v>7871966.0</v>
      </c>
      <c r="L39" s="31">
        <f t="shared" si="13"/>
        <v>99.31330708</v>
      </c>
      <c r="M39" s="26">
        <v>190658.0</v>
      </c>
      <c r="N39" s="31">
        <f t="shared" si="14"/>
        <v>2.405355473</v>
      </c>
      <c r="O39" s="26">
        <v>1123239.0</v>
      </c>
      <c r="P39" s="31">
        <f t="shared" si="15"/>
        <v>14.17086656</v>
      </c>
      <c r="Q39" s="26">
        <v>0.0</v>
      </c>
      <c r="R39" s="31">
        <f t="shared" si="16"/>
        <v>0</v>
      </c>
      <c r="S39" s="41"/>
      <c r="T39" s="41"/>
    </row>
    <row r="40" ht="15.75" customHeight="1">
      <c r="A40" s="25" t="s">
        <v>48</v>
      </c>
      <c r="B40" s="26">
        <v>1.3985526E7</v>
      </c>
      <c r="C40" s="26">
        <v>9979157.0</v>
      </c>
      <c r="D40" s="31">
        <f t="shared" si="9"/>
        <v>71.35346214</v>
      </c>
      <c r="E40" s="26">
        <v>1429906.0</v>
      </c>
      <c r="F40" s="31">
        <f t="shared" si="10"/>
        <v>14.32892578</v>
      </c>
      <c r="G40" s="26">
        <v>1650443.0</v>
      </c>
      <c r="H40" s="31">
        <f t="shared" si="11"/>
        <v>16.53890203</v>
      </c>
      <c r="I40" s="26">
        <v>366898.0</v>
      </c>
      <c r="J40" s="31">
        <f t="shared" si="12"/>
        <v>3.676643227</v>
      </c>
      <c r="K40" s="26">
        <v>9828802.0</v>
      </c>
      <c r="L40" s="31">
        <f t="shared" si="13"/>
        <v>98.49330961</v>
      </c>
      <c r="M40" s="26">
        <v>236363.0</v>
      </c>
      <c r="N40" s="31">
        <f t="shared" si="14"/>
        <v>2.368566804</v>
      </c>
      <c r="O40" s="26">
        <v>1150017.0</v>
      </c>
      <c r="P40" s="31">
        <f t="shared" si="15"/>
        <v>11.52418987</v>
      </c>
      <c r="Q40" s="26">
        <v>0.0</v>
      </c>
      <c r="R40" s="31">
        <f t="shared" si="16"/>
        <v>0</v>
      </c>
      <c r="S40" s="41"/>
      <c r="T40" s="41"/>
    </row>
    <row r="41" ht="15.75" customHeight="1">
      <c r="A41" s="25" t="s">
        <v>50</v>
      </c>
      <c r="B41" s="26">
        <v>2538126.0</v>
      </c>
      <c r="C41" s="26">
        <v>1614249.0</v>
      </c>
      <c r="D41" s="31">
        <f t="shared" si="9"/>
        <v>63.60003404</v>
      </c>
      <c r="E41" s="26">
        <v>90398.0</v>
      </c>
      <c r="F41" s="31">
        <f t="shared" si="10"/>
        <v>5.600003469</v>
      </c>
      <c r="G41" s="26">
        <v>222153.0</v>
      </c>
      <c r="H41" s="31">
        <f t="shared" si="11"/>
        <v>13.76200326</v>
      </c>
      <c r="I41" s="26">
        <v>75910.0</v>
      </c>
      <c r="J41" s="31">
        <f t="shared" si="12"/>
        <v>4.702496331</v>
      </c>
      <c r="K41" s="26">
        <v>1608746.0</v>
      </c>
      <c r="L41" s="31">
        <f t="shared" si="13"/>
        <v>99.65909844</v>
      </c>
      <c r="M41" s="26">
        <v>24756.0</v>
      </c>
      <c r="N41" s="31">
        <f t="shared" si="14"/>
        <v>1.533592401</v>
      </c>
      <c r="O41" s="26">
        <v>53174.0</v>
      </c>
      <c r="P41" s="31">
        <f t="shared" si="15"/>
        <v>3.294039519</v>
      </c>
      <c r="Q41" s="26">
        <v>2228.0</v>
      </c>
      <c r="R41" s="31">
        <f t="shared" si="16"/>
        <v>0.1380208382</v>
      </c>
      <c r="S41" s="41"/>
      <c r="T41" s="41"/>
    </row>
    <row r="42" ht="15.75" customHeight="1">
      <c r="A42" s="25" t="s">
        <v>51</v>
      </c>
      <c r="B42" s="26">
        <v>4884805.0</v>
      </c>
      <c r="C42" s="26">
        <v>3094742.0</v>
      </c>
      <c r="D42" s="31">
        <f t="shared" si="9"/>
        <v>63.35446348</v>
      </c>
      <c r="E42" s="26">
        <v>178358.0</v>
      </c>
      <c r="F42" s="31">
        <f t="shared" si="10"/>
        <v>5.763259102</v>
      </c>
      <c r="G42" s="26">
        <v>411879.0</v>
      </c>
      <c r="H42" s="31">
        <f t="shared" si="11"/>
        <v>13.30899312</v>
      </c>
      <c r="I42" s="26">
        <v>101037.0</v>
      </c>
      <c r="J42" s="31">
        <f t="shared" si="12"/>
        <v>3.264795579</v>
      </c>
      <c r="K42" s="26">
        <v>3066470.0</v>
      </c>
      <c r="L42" s="31">
        <f t="shared" si="13"/>
        <v>99.0864505</v>
      </c>
      <c r="M42" s="26">
        <v>51794.0</v>
      </c>
      <c r="N42" s="31">
        <f t="shared" si="14"/>
        <v>1.673612857</v>
      </c>
      <c r="O42" s="26">
        <v>271997.0</v>
      </c>
      <c r="P42" s="31">
        <f t="shared" si="15"/>
        <v>8.789004059</v>
      </c>
      <c r="Q42" s="26">
        <v>1435.0</v>
      </c>
      <c r="R42" s="31">
        <f t="shared" si="16"/>
        <v>0.04636897034</v>
      </c>
      <c r="S42" s="41"/>
      <c r="T42" s="41"/>
    </row>
    <row r="43" ht="15.75" customHeight="1">
      <c r="A43" s="25" t="s">
        <v>53</v>
      </c>
      <c r="B43" s="26">
        <v>6586874.0</v>
      </c>
      <c r="C43" s="26">
        <v>4053706.0</v>
      </c>
      <c r="D43" s="31">
        <f t="shared" si="9"/>
        <v>61.54218222</v>
      </c>
      <c r="E43" s="26">
        <v>284849.0</v>
      </c>
      <c r="F43" s="31">
        <f t="shared" si="10"/>
        <v>7.026878614</v>
      </c>
      <c r="G43" s="26">
        <v>372957.0</v>
      </c>
      <c r="H43" s="31">
        <f t="shared" si="11"/>
        <v>9.200395885</v>
      </c>
      <c r="I43" s="26">
        <v>154306.0</v>
      </c>
      <c r="J43" s="31">
        <f t="shared" si="12"/>
        <v>3.806541471</v>
      </c>
      <c r="K43" s="26">
        <v>4003423.0</v>
      </c>
      <c r="L43" s="31">
        <f t="shared" si="13"/>
        <v>98.75957951</v>
      </c>
      <c r="M43" s="26">
        <v>43718.0</v>
      </c>
      <c r="N43" s="31">
        <f t="shared" si="14"/>
        <v>1.078469924</v>
      </c>
      <c r="O43" s="26">
        <v>232847.0</v>
      </c>
      <c r="P43" s="31">
        <f t="shared" si="15"/>
        <v>5.744052479</v>
      </c>
      <c r="Q43" s="26">
        <v>14295.0</v>
      </c>
      <c r="R43" s="31">
        <f t="shared" si="16"/>
        <v>0.3526402753</v>
      </c>
      <c r="S43" s="41"/>
      <c r="T43" s="41"/>
    </row>
    <row r="44" ht="15.75" customHeight="1">
      <c r="A44" s="25" t="s">
        <v>54</v>
      </c>
      <c r="B44" s="26">
        <v>6668940.0</v>
      </c>
      <c r="C44" s="26">
        <v>4522717.0</v>
      </c>
      <c r="D44" s="31">
        <f t="shared" si="9"/>
        <v>67.81762919</v>
      </c>
      <c r="E44" s="26">
        <v>570485.0</v>
      </c>
      <c r="F44" s="31">
        <f t="shared" si="10"/>
        <v>12.61376734</v>
      </c>
      <c r="G44" s="26">
        <v>682442.0</v>
      </c>
      <c r="H44" s="31">
        <f t="shared" si="11"/>
        <v>15.08920412</v>
      </c>
      <c r="I44" s="26">
        <v>219592.0</v>
      </c>
      <c r="J44" s="31">
        <f t="shared" si="12"/>
        <v>4.855311531</v>
      </c>
      <c r="K44" s="26">
        <v>4446710.0</v>
      </c>
      <c r="L44" s="31">
        <f t="shared" si="13"/>
        <v>98.3194394</v>
      </c>
      <c r="M44" s="26">
        <v>146972.0</v>
      </c>
      <c r="N44" s="31">
        <f t="shared" si="14"/>
        <v>3.249639542</v>
      </c>
      <c r="O44" s="26">
        <v>461730.0</v>
      </c>
      <c r="P44" s="31">
        <f t="shared" si="15"/>
        <v>10.20912872</v>
      </c>
      <c r="Q44" s="26">
        <v>21546.0</v>
      </c>
      <c r="R44" s="31">
        <f t="shared" si="16"/>
        <v>0.4763950519</v>
      </c>
      <c r="S44" s="41"/>
      <c r="T44" s="41"/>
    </row>
    <row r="45" ht="15.75" customHeight="1">
      <c r="A45" s="25" t="s">
        <v>56</v>
      </c>
      <c r="B45" s="26">
        <v>3864215.0</v>
      </c>
      <c r="C45" s="26">
        <v>2570726.0</v>
      </c>
      <c r="D45" s="31">
        <f t="shared" si="9"/>
        <v>66.52647433</v>
      </c>
      <c r="E45" s="26">
        <v>175716.0</v>
      </c>
      <c r="F45" s="31">
        <f t="shared" si="10"/>
        <v>6.835267547</v>
      </c>
      <c r="G45" s="26">
        <v>348655.0</v>
      </c>
      <c r="H45" s="31">
        <f t="shared" si="11"/>
        <v>13.56251113</v>
      </c>
      <c r="I45" s="26">
        <v>70629.0</v>
      </c>
      <c r="J45" s="31">
        <f t="shared" si="12"/>
        <v>2.747433993</v>
      </c>
      <c r="K45" s="26">
        <v>2540348.0</v>
      </c>
      <c r="L45" s="31">
        <f t="shared" si="13"/>
        <v>98.81831047</v>
      </c>
      <c r="M45" s="26">
        <v>32451.0</v>
      </c>
      <c r="N45" s="31">
        <f t="shared" si="14"/>
        <v>1.262328229</v>
      </c>
      <c r="O45" s="26">
        <v>122791.0</v>
      </c>
      <c r="P45" s="31">
        <f t="shared" si="15"/>
        <v>4.776510604</v>
      </c>
      <c r="Q45" s="26">
        <v>3601.0</v>
      </c>
      <c r="R45" s="31">
        <f t="shared" si="16"/>
        <v>0.1400771611</v>
      </c>
      <c r="S45" s="41"/>
      <c r="T45" s="41"/>
    </row>
    <row r="46" ht="15.75" customHeight="1">
      <c r="A46" s="25" t="s">
        <v>57</v>
      </c>
      <c r="B46" s="26">
        <v>3062611.0</v>
      </c>
      <c r="C46" s="26">
        <v>1519753.0</v>
      </c>
      <c r="D46" s="31">
        <f t="shared" si="9"/>
        <v>49.62278918</v>
      </c>
      <c r="E46" s="26">
        <v>55628.0</v>
      </c>
      <c r="F46" s="31">
        <f t="shared" si="10"/>
        <v>3.660331646</v>
      </c>
      <c r="G46" s="26">
        <v>132013.0</v>
      </c>
      <c r="H46" s="31">
        <f t="shared" si="11"/>
        <v>8.686477342</v>
      </c>
      <c r="I46" s="26">
        <v>54475.0</v>
      </c>
      <c r="J46" s="31">
        <f t="shared" si="12"/>
        <v>3.584464054</v>
      </c>
      <c r="K46" s="26">
        <v>1509533.0</v>
      </c>
      <c r="L46" s="31">
        <f t="shared" si="13"/>
        <v>99.3275223</v>
      </c>
      <c r="M46" s="26">
        <v>40705.0</v>
      </c>
      <c r="N46" s="31">
        <f t="shared" si="14"/>
        <v>2.678395766</v>
      </c>
      <c r="O46" s="26">
        <v>47574.0</v>
      </c>
      <c r="P46" s="31">
        <f t="shared" si="15"/>
        <v>3.130377107</v>
      </c>
      <c r="Q46" s="26">
        <v>4801.0</v>
      </c>
      <c r="R46" s="31">
        <f t="shared" si="16"/>
        <v>0.315906598</v>
      </c>
      <c r="S46" s="41"/>
      <c r="T46" s="41"/>
    </row>
    <row r="47" ht="15.75" customHeight="1">
      <c r="A47" s="25" t="s">
        <v>59</v>
      </c>
      <c r="B47" s="26">
        <v>4175626.0</v>
      </c>
      <c r="C47" s="26">
        <v>2562942.0</v>
      </c>
      <c r="D47" s="31">
        <f t="shared" si="9"/>
        <v>61.37862922</v>
      </c>
      <c r="E47" s="26">
        <v>269334.0</v>
      </c>
      <c r="F47" s="31">
        <f t="shared" si="10"/>
        <v>10.50878249</v>
      </c>
      <c r="G47" s="26">
        <v>339087.0</v>
      </c>
      <c r="H47" s="31">
        <f t="shared" si="11"/>
        <v>13.23038134</v>
      </c>
      <c r="I47" s="26">
        <v>91749.0</v>
      </c>
      <c r="J47" s="31">
        <f t="shared" si="12"/>
        <v>3.579831303</v>
      </c>
      <c r="K47" s="26">
        <v>2518102.0</v>
      </c>
      <c r="L47" s="31">
        <f t="shared" si="13"/>
        <v>98.25044812</v>
      </c>
      <c r="M47" s="26">
        <v>38396.0</v>
      </c>
      <c r="N47" s="31">
        <f t="shared" si="14"/>
        <v>1.49812208</v>
      </c>
      <c r="O47" s="26">
        <v>232341.0</v>
      </c>
      <c r="P47" s="31">
        <f t="shared" si="15"/>
        <v>9.065402182</v>
      </c>
      <c r="Q47" s="26">
        <v>14031.0</v>
      </c>
      <c r="R47" s="31">
        <f t="shared" si="16"/>
        <v>0.5474567899</v>
      </c>
      <c r="S47" s="41"/>
      <c r="T47" s="41"/>
    </row>
    <row r="48" ht="15.75" customHeight="1">
      <c r="A48" s="25" t="s">
        <v>60</v>
      </c>
      <c r="B48" s="26">
        <v>4443602.0</v>
      </c>
      <c r="C48" s="26">
        <v>2373668.0</v>
      </c>
      <c r="D48" s="31">
        <f t="shared" si="9"/>
        <v>53.41765532</v>
      </c>
      <c r="E48" s="26">
        <v>188524.0</v>
      </c>
      <c r="F48" s="31">
        <f t="shared" si="10"/>
        <v>7.942307012</v>
      </c>
      <c r="G48" s="26">
        <v>262513.0</v>
      </c>
      <c r="H48" s="31">
        <f t="shared" si="11"/>
        <v>11.05938151</v>
      </c>
      <c r="I48" s="26">
        <v>68634.0</v>
      </c>
      <c r="J48" s="31">
        <f t="shared" si="12"/>
        <v>2.891474292</v>
      </c>
      <c r="K48" s="26">
        <v>2350236.0</v>
      </c>
      <c r="L48" s="31">
        <f t="shared" si="13"/>
        <v>99.01283583</v>
      </c>
      <c r="M48" s="26">
        <v>80730.0</v>
      </c>
      <c r="N48" s="31">
        <f t="shared" si="14"/>
        <v>3.401065355</v>
      </c>
      <c r="O48" s="26">
        <v>123264.0</v>
      </c>
      <c r="P48" s="31">
        <f t="shared" si="15"/>
        <v>5.192975597</v>
      </c>
      <c r="Q48" s="26">
        <v>0.0</v>
      </c>
      <c r="R48" s="31">
        <f t="shared" si="16"/>
        <v>0</v>
      </c>
      <c r="S48" s="41"/>
      <c r="T48" s="41"/>
    </row>
    <row r="49" ht="15.75" customHeight="1">
      <c r="A49" s="25" t="s">
        <v>63</v>
      </c>
      <c r="B49" s="26">
        <v>3636167.0</v>
      </c>
      <c r="C49" s="26">
        <v>2212721.0</v>
      </c>
      <c r="D49" s="31">
        <f t="shared" si="9"/>
        <v>60.85311813</v>
      </c>
      <c r="E49" s="26">
        <v>236825.0</v>
      </c>
      <c r="F49" s="31">
        <f t="shared" si="10"/>
        <v>10.70288572</v>
      </c>
      <c r="G49" s="26">
        <v>247593.0</v>
      </c>
      <c r="H49" s="31">
        <f t="shared" si="11"/>
        <v>11.18952638</v>
      </c>
      <c r="I49" s="26">
        <v>62986.0</v>
      </c>
      <c r="J49" s="31">
        <f t="shared" si="12"/>
        <v>2.846540526</v>
      </c>
      <c r="K49" s="26">
        <v>2183433.0</v>
      </c>
      <c r="L49" s="31">
        <f t="shared" si="13"/>
        <v>98.6763808</v>
      </c>
      <c r="M49" s="26">
        <v>19099.0</v>
      </c>
      <c r="N49" s="31">
        <f t="shared" si="14"/>
        <v>0.8631454214</v>
      </c>
      <c r="O49" s="26">
        <v>243295.0</v>
      </c>
      <c r="P49" s="31">
        <f t="shared" si="15"/>
        <v>10.99528589</v>
      </c>
      <c r="Q49" s="26">
        <v>0.0</v>
      </c>
      <c r="R49" s="31">
        <f t="shared" si="16"/>
        <v>0</v>
      </c>
      <c r="S49" s="41"/>
      <c r="T49" s="41"/>
    </row>
    <row r="50" ht="15.75" customHeight="1">
      <c r="A50" s="25" t="s">
        <v>64</v>
      </c>
      <c r="B50" s="26">
        <v>2220907.0</v>
      </c>
      <c r="C50" s="26">
        <v>1456025.0</v>
      </c>
      <c r="D50" s="31">
        <f t="shared" si="9"/>
        <v>65.55992664</v>
      </c>
      <c r="E50" s="26">
        <v>97007.0</v>
      </c>
      <c r="F50" s="31">
        <f t="shared" si="10"/>
        <v>6.662454285</v>
      </c>
      <c r="G50" s="26">
        <v>136744.0</v>
      </c>
      <c r="H50" s="31">
        <f t="shared" si="11"/>
        <v>9.391596985</v>
      </c>
      <c r="I50" s="26">
        <v>60711.0</v>
      </c>
      <c r="J50" s="31">
        <f t="shared" si="12"/>
        <v>4.169639944</v>
      </c>
      <c r="K50" s="26">
        <v>1437548.0</v>
      </c>
      <c r="L50" s="31">
        <f t="shared" si="13"/>
        <v>98.73099706</v>
      </c>
      <c r="M50" s="26">
        <v>23233.0</v>
      </c>
      <c r="N50" s="31">
        <f t="shared" si="14"/>
        <v>1.595645679</v>
      </c>
      <c r="O50" s="26">
        <v>52245.0</v>
      </c>
      <c r="P50" s="31">
        <f t="shared" si="15"/>
        <v>3.588193884</v>
      </c>
      <c r="Q50" s="26">
        <v>754.0</v>
      </c>
      <c r="R50" s="31">
        <f t="shared" si="16"/>
        <v>0.05178482512</v>
      </c>
      <c r="S50" s="41"/>
      <c r="T50" s="41"/>
    </row>
    <row r="51" ht="15.75" customHeight="1">
      <c r="A51" s="25" t="s">
        <v>65</v>
      </c>
      <c r="B51" s="26">
        <v>3746618.0</v>
      </c>
      <c r="C51" s="26">
        <v>1496986.0</v>
      </c>
      <c r="D51" s="31">
        <f t="shared" si="9"/>
        <v>39.95566135</v>
      </c>
      <c r="E51" s="26">
        <v>49794.0</v>
      </c>
      <c r="F51" s="31">
        <f t="shared" si="10"/>
        <v>3.326283613</v>
      </c>
      <c r="G51" s="26">
        <v>115651.0</v>
      </c>
      <c r="H51" s="31">
        <f t="shared" si="11"/>
        <v>7.725589952</v>
      </c>
      <c r="I51" s="26">
        <v>40002.0</v>
      </c>
      <c r="J51" s="31">
        <f t="shared" si="12"/>
        <v>2.672169279</v>
      </c>
      <c r="K51" s="26">
        <v>1483679.0</v>
      </c>
      <c r="L51" s="31">
        <f t="shared" si="13"/>
        <v>99.11108053</v>
      </c>
      <c r="M51" s="26">
        <v>34637.0</v>
      </c>
      <c r="N51" s="31">
        <f t="shared" si="14"/>
        <v>2.313782494</v>
      </c>
      <c r="O51" s="26">
        <v>17044.0</v>
      </c>
      <c r="P51" s="31">
        <f t="shared" si="15"/>
        <v>1.138554402</v>
      </c>
      <c r="Q51" s="26">
        <v>0.0</v>
      </c>
      <c r="R51" s="31">
        <f t="shared" si="16"/>
        <v>0</v>
      </c>
      <c r="S51" s="41"/>
      <c r="T51" s="41"/>
    </row>
    <row r="52" ht="15.75" customHeight="1">
      <c r="A52" s="28"/>
      <c r="B52" s="28"/>
      <c r="C52" s="28"/>
      <c r="D52" s="28"/>
      <c r="E52" s="28"/>
      <c r="F52" s="28"/>
      <c r="G52" s="28"/>
      <c r="H52" s="28"/>
      <c r="I52" s="28"/>
      <c r="J52" s="28"/>
      <c r="K52" s="28"/>
      <c r="L52" s="28"/>
      <c r="M52" s="28"/>
      <c r="N52" s="28"/>
      <c r="O52" s="28"/>
      <c r="P52" s="28"/>
      <c r="Q52" s="28"/>
      <c r="R52" s="28"/>
    </row>
    <row r="53" ht="15.75" customHeight="1">
      <c r="A53" s="9"/>
      <c r="B53" s="9"/>
      <c r="C53" s="9"/>
      <c r="D53" s="9"/>
      <c r="E53" s="9"/>
      <c r="F53" s="9"/>
      <c r="G53" s="9"/>
      <c r="H53" s="9"/>
      <c r="I53" s="9"/>
      <c r="J53" s="9"/>
      <c r="K53" s="9"/>
      <c r="L53" s="9"/>
      <c r="M53" s="9"/>
      <c r="N53" s="9"/>
      <c r="O53" s="9"/>
      <c r="P53" s="9"/>
    </row>
    <row r="54" ht="15.75" customHeight="1">
      <c r="A54" s="29" t="s">
        <v>69</v>
      </c>
      <c r="B54" s="29"/>
      <c r="C54" s="29"/>
      <c r="D54" s="29"/>
      <c r="E54" s="29"/>
      <c r="F54" s="29"/>
      <c r="G54" s="29"/>
      <c r="H54" s="29"/>
      <c r="I54" s="29"/>
      <c r="J54" s="29"/>
      <c r="K54" s="29"/>
      <c r="L54" s="29"/>
      <c r="M54" s="29"/>
      <c r="N54" s="29"/>
      <c r="O54" s="29"/>
      <c r="P54" s="29"/>
    </row>
    <row r="55" ht="15.75" customHeight="1">
      <c r="A55" s="29" t="s">
        <v>72</v>
      </c>
      <c r="B55" s="29"/>
      <c r="C55" s="29"/>
      <c r="D55" s="29"/>
      <c r="E55" s="29"/>
      <c r="F55" s="29"/>
      <c r="G55" s="29"/>
      <c r="H55" s="29"/>
      <c r="I55" s="29"/>
      <c r="J55" s="29"/>
      <c r="K55" s="29"/>
      <c r="L55" s="29"/>
      <c r="M55" s="29"/>
      <c r="N55" s="29"/>
      <c r="O55" s="29"/>
      <c r="P55" s="29"/>
    </row>
    <row r="56" ht="15.75" customHeight="1">
      <c r="A56" s="29" t="s">
        <v>272</v>
      </c>
      <c r="B56" s="29"/>
      <c r="C56" s="29"/>
      <c r="D56" s="29"/>
      <c r="E56" s="29"/>
      <c r="F56" s="29"/>
      <c r="G56" s="29"/>
      <c r="H56" s="29"/>
      <c r="I56" s="29"/>
      <c r="J56" s="29"/>
      <c r="K56" s="29"/>
      <c r="L56" s="29"/>
      <c r="M56" s="29"/>
      <c r="N56" s="29"/>
      <c r="O56" s="29"/>
      <c r="P56" s="29"/>
    </row>
    <row r="57" ht="15.75" customHeight="1">
      <c r="A57" s="29" t="s">
        <v>273</v>
      </c>
      <c r="B57" s="29"/>
      <c r="C57" s="29"/>
      <c r="D57" s="29"/>
      <c r="E57" s="29"/>
      <c r="F57" s="29"/>
      <c r="G57" s="29"/>
      <c r="H57" s="29"/>
      <c r="I57" s="29"/>
      <c r="J57" s="29"/>
      <c r="K57" s="29"/>
      <c r="L57" s="29"/>
      <c r="M57" s="29"/>
      <c r="N57" s="29"/>
      <c r="O57" s="29"/>
      <c r="P57" s="29"/>
    </row>
    <row r="58" ht="15.75" customHeight="1">
      <c r="A58" s="32" t="s">
        <v>76</v>
      </c>
    </row>
    <row r="59" ht="15.75" customHeight="1">
      <c r="A59" s="32"/>
    </row>
    <row r="60" ht="15.75" customHeight="1">
      <c r="D60" s="34"/>
      <c r="F60" s="34"/>
      <c r="H60" s="34"/>
      <c r="J60" s="34"/>
      <c r="L60" s="34"/>
      <c r="N60" s="34"/>
      <c r="P60" s="34"/>
      <c r="R60" s="34"/>
    </row>
    <row r="61" ht="15.75" customHeight="1">
      <c r="D61" s="34"/>
      <c r="F61" s="34"/>
    </row>
    <row r="62" ht="15.75" customHeight="1">
      <c r="D62" s="34"/>
      <c r="F62" s="34"/>
    </row>
    <row r="63" ht="15.75" customHeight="1">
      <c r="D63" s="34"/>
      <c r="F63" s="34"/>
    </row>
    <row r="64" ht="15.75" customHeight="1">
      <c r="D64" s="34"/>
      <c r="F64" s="34"/>
    </row>
    <row r="65" ht="15.75" customHeight="1">
      <c r="D65" s="34"/>
      <c r="F65" s="34"/>
    </row>
    <row r="66" ht="15.75" customHeight="1">
      <c r="D66" s="34"/>
      <c r="F66" s="34"/>
    </row>
    <row r="67" ht="15.75" customHeight="1">
      <c r="D67" s="34"/>
      <c r="F67" s="34"/>
    </row>
    <row r="68" ht="15.75" customHeight="1">
      <c r="D68" s="34"/>
      <c r="F68" s="34"/>
    </row>
    <row r="69" ht="15.75" customHeight="1">
      <c r="D69" s="34"/>
      <c r="F69" s="34"/>
    </row>
    <row r="70" ht="15.75" customHeight="1">
      <c r="D70" s="34"/>
      <c r="F70" s="34"/>
    </row>
    <row r="71" ht="15.75" customHeight="1">
      <c r="D71" s="34"/>
      <c r="F71" s="34"/>
    </row>
    <row r="72" ht="15.75" customHeight="1">
      <c r="D72" s="34"/>
      <c r="F72" s="34"/>
    </row>
    <row r="73" ht="15.75" customHeight="1">
      <c r="D73" s="34"/>
      <c r="F73" s="34"/>
    </row>
    <row r="74" ht="15.75" customHeight="1">
      <c r="D74" s="34"/>
      <c r="F74" s="34"/>
    </row>
    <row r="75" ht="15.75" customHeight="1">
      <c r="D75" s="34"/>
      <c r="F75" s="34"/>
    </row>
    <row r="76" ht="15.75" customHeight="1">
      <c r="D76" s="34"/>
      <c r="F76" s="34"/>
    </row>
    <row r="77" ht="15.75" customHeight="1">
      <c r="D77" s="34"/>
      <c r="F77" s="34"/>
    </row>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7">
    <mergeCell ref="M6:N6"/>
    <mergeCell ref="O6:P6"/>
    <mergeCell ref="A4:A7"/>
    <mergeCell ref="B4:R4"/>
    <mergeCell ref="B5:B7"/>
    <mergeCell ref="C5:D6"/>
    <mergeCell ref="E5:R5"/>
    <mergeCell ref="E6:F6"/>
    <mergeCell ref="G6:H6"/>
    <mergeCell ref="Q6:R6"/>
    <mergeCell ref="E31:F31"/>
    <mergeCell ref="G31:H31"/>
    <mergeCell ref="I31:J31"/>
    <mergeCell ref="K31:L31"/>
    <mergeCell ref="A58:P58"/>
    <mergeCell ref="A59:P59"/>
    <mergeCell ref="M31:N31"/>
    <mergeCell ref="O31:P31"/>
    <mergeCell ref="T31:U31"/>
    <mergeCell ref="I6:J6"/>
    <mergeCell ref="K6:L6"/>
    <mergeCell ref="A29:A32"/>
    <mergeCell ref="B29:R29"/>
    <mergeCell ref="B30:B32"/>
    <mergeCell ref="C30:D31"/>
    <mergeCell ref="E30:R30"/>
    <mergeCell ref="Q31:R31"/>
  </mergeCells>
  <hyperlinks>
    <hyperlink display="BACK TO LIST" location="LIST!A1" ref="A1"/>
  </hyperlinks>
  <printOptions/>
  <pageMargins bottom="0.75" footer="0.0" header="0.0" left="0.7" right="0.7" top="0.75"/>
  <pageSetup paperSize="9" orientation="portrait"/>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9"/>
    <pageSetUpPr/>
  </sheetPr>
  <sheetViews>
    <sheetView workbookViewId="0"/>
  </sheetViews>
  <sheetFormatPr customHeight="1" defaultColWidth="12.63" defaultRowHeight="15.0"/>
  <cols>
    <col customWidth="1" min="1" max="1" width="39.0"/>
    <col customWidth="1" min="2" max="16" width="14.0"/>
    <col customWidth="1" min="17" max="26" width="8.63"/>
  </cols>
  <sheetData>
    <row r="1">
      <c r="A1" s="5" t="s">
        <v>1</v>
      </c>
    </row>
    <row r="2" ht="15.0" customHeight="1">
      <c r="A2" s="33" t="s">
        <v>260</v>
      </c>
      <c r="B2" s="7"/>
      <c r="C2" s="7"/>
      <c r="D2" s="7"/>
      <c r="E2" s="7"/>
      <c r="F2" s="7"/>
      <c r="G2" s="7"/>
      <c r="H2" s="7"/>
      <c r="I2" s="7"/>
      <c r="J2" s="7"/>
      <c r="K2" s="7"/>
      <c r="L2" s="7"/>
      <c r="M2" s="7"/>
      <c r="N2" s="7"/>
      <c r="O2" s="7"/>
      <c r="P2" s="7"/>
    </row>
    <row r="3">
      <c r="A3" s="8"/>
      <c r="B3" s="9"/>
      <c r="C3" s="9"/>
      <c r="D3" s="9"/>
      <c r="E3" s="9"/>
      <c r="F3" s="9"/>
      <c r="G3" s="9"/>
      <c r="H3" s="9"/>
      <c r="I3" s="9"/>
      <c r="J3" s="9"/>
      <c r="K3" s="9"/>
      <c r="L3" s="9"/>
      <c r="M3" s="9"/>
      <c r="N3" s="9"/>
      <c r="O3" s="9"/>
      <c r="P3" s="9"/>
    </row>
    <row r="4">
      <c r="A4" s="10" t="s">
        <v>13</v>
      </c>
      <c r="B4" s="42">
        <v>2019.0</v>
      </c>
      <c r="C4" s="14"/>
      <c r="D4" s="14"/>
      <c r="E4" s="14"/>
      <c r="F4" s="14"/>
      <c r="G4" s="14"/>
      <c r="H4" s="14"/>
      <c r="I4" s="14"/>
      <c r="J4" s="14"/>
      <c r="K4" s="14"/>
      <c r="L4" s="14"/>
      <c r="M4" s="14"/>
      <c r="N4" s="14"/>
      <c r="O4" s="14"/>
      <c r="P4" s="15"/>
    </row>
    <row r="5">
      <c r="A5" s="17"/>
      <c r="B5" s="21" t="s">
        <v>256</v>
      </c>
      <c r="C5" s="42" t="s">
        <v>261</v>
      </c>
      <c r="D5" s="14"/>
      <c r="E5" s="14"/>
      <c r="F5" s="14"/>
      <c r="G5" s="14"/>
      <c r="H5" s="14"/>
      <c r="I5" s="14"/>
      <c r="J5" s="14"/>
      <c r="K5" s="14"/>
      <c r="L5" s="14"/>
      <c r="M5" s="14"/>
      <c r="N5" s="14"/>
      <c r="O5" s="14"/>
      <c r="P5" s="15"/>
    </row>
    <row r="6" ht="31.5" customHeight="1">
      <c r="A6" s="17"/>
      <c r="B6" s="17"/>
      <c r="C6" s="13" t="s">
        <v>262</v>
      </c>
      <c r="D6" s="15"/>
      <c r="E6" s="13" t="s">
        <v>205</v>
      </c>
      <c r="F6" s="15"/>
      <c r="G6" s="13" t="s">
        <v>264</v>
      </c>
      <c r="H6" s="15"/>
      <c r="I6" s="13" t="s">
        <v>265</v>
      </c>
      <c r="J6" s="15"/>
      <c r="K6" s="13" t="s">
        <v>267</v>
      </c>
      <c r="L6" s="15"/>
      <c r="M6" s="13" t="s">
        <v>268</v>
      </c>
      <c r="N6" s="15"/>
      <c r="O6" s="13" t="s">
        <v>269</v>
      </c>
      <c r="P6" s="15"/>
    </row>
    <row r="7">
      <c r="A7" s="18"/>
      <c r="B7" s="18"/>
      <c r="C7" s="24" t="s">
        <v>37</v>
      </c>
      <c r="D7" s="24" t="s">
        <v>39</v>
      </c>
      <c r="E7" s="24" t="s">
        <v>37</v>
      </c>
      <c r="F7" s="24" t="s">
        <v>39</v>
      </c>
      <c r="G7" s="24" t="s">
        <v>37</v>
      </c>
      <c r="H7" s="24" t="s">
        <v>39</v>
      </c>
      <c r="I7" s="24" t="s">
        <v>37</v>
      </c>
      <c r="J7" s="24" t="s">
        <v>39</v>
      </c>
      <c r="K7" s="24" t="s">
        <v>37</v>
      </c>
      <c r="L7" s="24" t="s">
        <v>39</v>
      </c>
      <c r="M7" s="24" t="s">
        <v>37</v>
      </c>
      <c r="N7" s="24" t="s">
        <v>39</v>
      </c>
      <c r="O7" s="24" t="s">
        <v>37</v>
      </c>
      <c r="P7" s="24" t="s">
        <v>39</v>
      </c>
    </row>
    <row r="8">
      <c r="A8" s="16"/>
      <c r="B8" s="20"/>
      <c r="C8" s="20"/>
      <c r="D8" s="20"/>
      <c r="E8" s="20"/>
      <c r="F8" s="20"/>
      <c r="G8" s="20"/>
      <c r="H8" s="20"/>
      <c r="I8" s="20"/>
      <c r="J8" s="20"/>
      <c r="K8" s="20"/>
      <c r="L8" s="20"/>
      <c r="M8" s="20"/>
      <c r="N8" s="20"/>
      <c r="O8" s="20"/>
      <c r="P8" s="20"/>
    </row>
    <row r="9">
      <c r="A9" s="22" t="s">
        <v>33</v>
      </c>
      <c r="B9" s="23">
        <f>'i_C21&amp;23'!C9</f>
        <v>21118015.23</v>
      </c>
      <c r="C9" s="23">
        <v>8375825.549713999</v>
      </c>
      <c r="D9" s="27">
        <f t="shared" ref="D9:D26" si="1">(C9/$B9)*100</f>
        <v>39.66199219</v>
      </c>
      <c r="E9" s="23">
        <v>3055604.7218609992</v>
      </c>
      <c r="F9" s="27">
        <f t="shared" ref="F9:F26" si="2">(E9/$B9)*100</f>
        <v>14.46918514</v>
      </c>
      <c r="G9" s="23">
        <v>2423682.311665001</v>
      </c>
      <c r="H9" s="27">
        <f t="shared" ref="H9:H26" si="3">(G9/$B9)*100</f>
        <v>11.47684707</v>
      </c>
      <c r="I9" s="23">
        <v>2794963.723129</v>
      </c>
      <c r="J9" s="27">
        <f t="shared" ref="J9:J26" si="4">(I9/$B9)*100</f>
        <v>13.23497352</v>
      </c>
      <c r="K9" s="23">
        <v>1521504.0133199997</v>
      </c>
      <c r="L9" s="27">
        <f t="shared" ref="L9:L26" si="5">(K9/$B9)*100</f>
        <v>7.204768047</v>
      </c>
      <c r="M9" s="23">
        <v>5592125.414495</v>
      </c>
      <c r="N9" s="27">
        <f t="shared" ref="N9:N26" si="6">(M9/$B9)*100</f>
        <v>26.48035506</v>
      </c>
      <c r="O9" s="23">
        <v>1.3397389628612993E7</v>
      </c>
      <c r="P9" s="27">
        <f t="shared" ref="P9:P26" si="7">(O9/$B9)*100</f>
        <v>63.44057187</v>
      </c>
    </row>
    <row r="10">
      <c r="A10" s="25" t="s">
        <v>38</v>
      </c>
      <c r="B10" s="26">
        <f>'i_C21&amp;23'!C10</f>
        <v>4434947.683</v>
      </c>
      <c r="C10" s="26">
        <v>2192868.9042249997</v>
      </c>
      <c r="D10" s="31">
        <f t="shared" si="1"/>
        <v>49.44520343</v>
      </c>
      <c r="E10" s="26">
        <v>941528.3669399987</v>
      </c>
      <c r="F10" s="31">
        <f t="shared" si="2"/>
        <v>21.22975138</v>
      </c>
      <c r="G10" s="26">
        <v>680678.7916900002</v>
      </c>
      <c r="H10" s="31">
        <f t="shared" si="3"/>
        <v>15.34806812</v>
      </c>
      <c r="I10" s="26">
        <v>930841.15544</v>
      </c>
      <c r="J10" s="31">
        <f t="shared" si="4"/>
        <v>20.98877421</v>
      </c>
      <c r="K10" s="26">
        <v>592673.4039900001</v>
      </c>
      <c r="L10" s="31">
        <f t="shared" si="5"/>
        <v>13.36370677</v>
      </c>
      <c r="M10" s="26">
        <v>1503100.0723899999</v>
      </c>
      <c r="N10" s="31">
        <f t="shared" si="6"/>
        <v>33.89217145</v>
      </c>
      <c r="O10" s="26">
        <v>2617759.145080002</v>
      </c>
      <c r="P10" s="31">
        <f t="shared" si="7"/>
        <v>59.02570519</v>
      </c>
    </row>
    <row r="11">
      <c r="A11" s="25" t="s">
        <v>41</v>
      </c>
      <c r="B11" s="26">
        <f>'i_C21&amp;23'!C11</f>
        <v>322391.1926</v>
      </c>
      <c r="C11" s="26">
        <v>114184.860024</v>
      </c>
      <c r="D11" s="31">
        <f t="shared" si="1"/>
        <v>35.41810776</v>
      </c>
      <c r="E11" s="26">
        <v>27823.263836000002</v>
      </c>
      <c r="F11" s="31">
        <f t="shared" si="2"/>
        <v>8.630280378</v>
      </c>
      <c r="G11" s="26">
        <v>12894.185749999999</v>
      </c>
      <c r="H11" s="31">
        <f t="shared" si="3"/>
        <v>3.999546528</v>
      </c>
      <c r="I11" s="26">
        <v>3953.3329300000005</v>
      </c>
      <c r="J11" s="31">
        <f t="shared" si="4"/>
        <v>1.22625339</v>
      </c>
      <c r="K11" s="26">
        <v>2810.65962</v>
      </c>
      <c r="L11" s="31">
        <f t="shared" si="5"/>
        <v>0.8718165025</v>
      </c>
      <c r="M11" s="26">
        <v>48344.35329999999</v>
      </c>
      <c r="N11" s="31">
        <f t="shared" si="6"/>
        <v>14.99555646</v>
      </c>
      <c r="O11" s="26">
        <v>214110.4778010001</v>
      </c>
      <c r="P11" s="31">
        <f t="shared" si="7"/>
        <v>66.41325281</v>
      </c>
    </row>
    <row r="12">
      <c r="A12" s="25" t="s">
        <v>43</v>
      </c>
      <c r="B12" s="26">
        <f>'i_C21&amp;23'!C12</f>
        <v>1269147.599</v>
      </c>
      <c r="C12" s="26">
        <v>475743.78801999986</v>
      </c>
      <c r="D12" s="31">
        <f t="shared" si="1"/>
        <v>37.48530023</v>
      </c>
      <c r="E12" s="26">
        <v>126948.56756000007</v>
      </c>
      <c r="F12" s="31">
        <f t="shared" si="2"/>
        <v>10.00266381</v>
      </c>
      <c r="G12" s="26">
        <v>111673.31546000001</v>
      </c>
      <c r="H12" s="31">
        <f t="shared" si="3"/>
        <v>8.799080227</v>
      </c>
      <c r="I12" s="26">
        <v>105481.71276</v>
      </c>
      <c r="J12" s="31">
        <f t="shared" si="4"/>
        <v>8.311225015</v>
      </c>
      <c r="K12" s="26">
        <v>13065.39249</v>
      </c>
      <c r="L12" s="31">
        <f t="shared" si="5"/>
        <v>1.029462018</v>
      </c>
      <c r="M12" s="26">
        <v>258051.9479299999</v>
      </c>
      <c r="N12" s="31">
        <f t="shared" si="6"/>
        <v>20.33269795</v>
      </c>
      <c r="O12" s="26">
        <v>1091161.5378299998</v>
      </c>
      <c r="P12" s="31">
        <f t="shared" si="7"/>
        <v>85.97593679</v>
      </c>
    </row>
    <row r="13">
      <c r="A13" s="25" t="s">
        <v>44</v>
      </c>
      <c r="B13" s="26">
        <f>'i_C21&amp;23'!C13</f>
        <v>608713.3621</v>
      </c>
      <c r="C13" s="26">
        <v>277188.0459710001</v>
      </c>
      <c r="D13" s="31">
        <f t="shared" si="1"/>
        <v>45.53671124</v>
      </c>
      <c r="E13" s="26">
        <v>82261.15944500004</v>
      </c>
      <c r="F13" s="31">
        <f t="shared" si="2"/>
        <v>13.51394015</v>
      </c>
      <c r="G13" s="26">
        <v>56380.32505799999</v>
      </c>
      <c r="H13" s="31">
        <f t="shared" si="3"/>
        <v>9.26221249</v>
      </c>
      <c r="I13" s="26">
        <v>47575.34444899998</v>
      </c>
      <c r="J13" s="31">
        <f t="shared" si="4"/>
        <v>7.815722047</v>
      </c>
      <c r="K13" s="26">
        <v>40327.915068999995</v>
      </c>
      <c r="L13" s="31">
        <f t="shared" si="5"/>
        <v>6.625107576</v>
      </c>
      <c r="M13" s="26">
        <v>65460.52715799999</v>
      </c>
      <c r="N13" s="31">
        <f t="shared" si="6"/>
        <v>10.75391658</v>
      </c>
      <c r="O13" s="26">
        <v>236469.63606300007</v>
      </c>
      <c r="P13" s="31">
        <f t="shared" si="7"/>
        <v>38.8474528</v>
      </c>
    </row>
    <row r="14">
      <c r="A14" s="25" t="s">
        <v>46</v>
      </c>
      <c r="B14" s="26">
        <f>'i_C21&amp;23'!C14</f>
        <v>3210821.053</v>
      </c>
      <c r="C14" s="26">
        <v>1634298.7753899998</v>
      </c>
      <c r="D14" s="31">
        <f t="shared" si="1"/>
        <v>50.89971532</v>
      </c>
      <c r="E14" s="26">
        <v>422842.26858</v>
      </c>
      <c r="F14" s="31">
        <f t="shared" si="2"/>
        <v>13.16928791</v>
      </c>
      <c r="G14" s="26">
        <v>205561.05203999992</v>
      </c>
      <c r="H14" s="31">
        <f t="shared" si="3"/>
        <v>6.402133556</v>
      </c>
      <c r="I14" s="26">
        <v>265172.43376</v>
      </c>
      <c r="J14" s="31">
        <f t="shared" si="4"/>
        <v>8.258711071</v>
      </c>
      <c r="K14" s="26">
        <v>127447.26376000002</v>
      </c>
      <c r="L14" s="31">
        <f t="shared" si="5"/>
        <v>3.969304476</v>
      </c>
      <c r="M14" s="26">
        <v>514199.27113000007</v>
      </c>
      <c r="N14" s="31">
        <f t="shared" si="6"/>
        <v>16.01457268</v>
      </c>
      <c r="O14" s="26">
        <v>2114364.8472399977</v>
      </c>
      <c r="P14" s="31">
        <f t="shared" si="7"/>
        <v>65.85122037</v>
      </c>
    </row>
    <row r="15">
      <c r="A15" s="25" t="s">
        <v>48</v>
      </c>
      <c r="B15" s="26">
        <f>'i_C21&amp;23'!C15</f>
        <v>4117581.288</v>
      </c>
      <c r="C15" s="26">
        <v>1344288.8952399998</v>
      </c>
      <c r="D15" s="31">
        <f t="shared" si="1"/>
        <v>32.6475375</v>
      </c>
      <c r="E15" s="26">
        <v>671302.11283</v>
      </c>
      <c r="F15" s="31">
        <f t="shared" si="2"/>
        <v>16.30331172</v>
      </c>
      <c r="G15" s="26">
        <v>484596.72180000006</v>
      </c>
      <c r="H15" s="31">
        <f t="shared" si="3"/>
        <v>11.76896551</v>
      </c>
      <c r="I15" s="26">
        <v>905544.8943399998</v>
      </c>
      <c r="J15" s="31">
        <f t="shared" si="4"/>
        <v>21.99215586</v>
      </c>
      <c r="K15" s="26">
        <v>299580.9018999998</v>
      </c>
      <c r="L15" s="31">
        <f t="shared" si="5"/>
        <v>7.275652402</v>
      </c>
      <c r="M15" s="26">
        <v>1150761.3757299983</v>
      </c>
      <c r="N15" s="31">
        <f t="shared" si="6"/>
        <v>27.94750838</v>
      </c>
      <c r="O15" s="26">
        <v>2645469.202369993</v>
      </c>
      <c r="P15" s="31">
        <f t="shared" si="7"/>
        <v>64.24813543</v>
      </c>
    </row>
    <row r="16">
      <c r="A16" s="25" t="s">
        <v>50</v>
      </c>
      <c r="B16" s="26">
        <f>'i_C21&amp;23'!C16</f>
        <v>437023.2581</v>
      </c>
      <c r="C16" s="26">
        <v>107860.24414999994</v>
      </c>
      <c r="D16" s="31">
        <f t="shared" si="1"/>
        <v>24.68066451</v>
      </c>
      <c r="E16" s="26">
        <v>53016.29778999999</v>
      </c>
      <c r="F16" s="31">
        <f t="shared" si="2"/>
        <v>12.13123027</v>
      </c>
      <c r="G16" s="26">
        <v>55385.06967</v>
      </c>
      <c r="H16" s="31">
        <f t="shared" si="3"/>
        <v>12.67325449</v>
      </c>
      <c r="I16" s="26">
        <v>77964.29365000004</v>
      </c>
      <c r="J16" s="31">
        <f t="shared" si="4"/>
        <v>17.83984999</v>
      </c>
      <c r="K16" s="26">
        <v>38003.907419999996</v>
      </c>
      <c r="L16" s="31">
        <f t="shared" si="5"/>
        <v>8.696083495</v>
      </c>
      <c r="M16" s="26">
        <v>71587.48516000001</v>
      </c>
      <c r="N16" s="31">
        <f t="shared" si="6"/>
        <v>16.38070373</v>
      </c>
      <c r="O16" s="26">
        <v>356521.32123999903</v>
      </c>
      <c r="P16" s="31">
        <f t="shared" si="7"/>
        <v>81.57948453</v>
      </c>
    </row>
    <row r="17">
      <c r="A17" s="25" t="s">
        <v>51</v>
      </c>
      <c r="B17" s="26">
        <f>'i_C21&amp;23'!C17</f>
        <v>795978.5354</v>
      </c>
      <c r="C17" s="26">
        <v>375031.53474</v>
      </c>
      <c r="D17" s="31">
        <f t="shared" si="1"/>
        <v>47.11578492</v>
      </c>
      <c r="E17" s="26">
        <v>115111.57727000001</v>
      </c>
      <c r="F17" s="31">
        <f t="shared" si="2"/>
        <v>14.46164339</v>
      </c>
      <c r="G17" s="26">
        <v>180700.51802000002</v>
      </c>
      <c r="H17" s="31">
        <f t="shared" si="3"/>
        <v>22.70168227</v>
      </c>
      <c r="I17" s="26">
        <v>89184.25522000002</v>
      </c>
      <c r="J17" s="31">
        <f t="shared" si="4"/>
        <v>11.20435429</v>
      </c>
      <c r="K17" s="26">
        <v>100587.72303000002</v>
      </c>
      <c r="L17" s="31">
        <f t="shared" si="5"/>
        <v>12.63698938</v>
      </c>
      <c r="M17" s="26">
        <v>239510.18025000003</v>
      </c>
      <c r="N17" s="31">
        <f t="shared" si="6"/>
        <v>30.09003002</v>
      </c>
      <c r="O17" s="26">
        <v>368780.1344299999</v>
      </c>
      <c r="P17" s="31">
        <f t="shared" si="7"/>
        <v>46.33041194</v>
      </c>
    </row>
    <row r="18">
      <c r="A18" s="25" t="s">
        <v>53</v>
      </c>
      <c r="B18" s="26">
        <f>'i_C21&amp;23'!C18</f>
        <v>1148816.024</v>
      </c>
      <c r="C18" s="26">
        <v>419424.22248999955</v>
      </c>
      <c r="D18" s="31">
        <f t="shared" si="1"/>
        <v>36.50925941</v>
      </c>
      <c r="E18" s="26">
        <v>126801.40895000007</v>
      </c>
      <c r="F18" s="31">
        <f t="shared" si="2"/>
        <v>11.03757314</v>
      </c>
      <c r="G18" s="26">
        <v>207853.68060000008</v>
      </c>
      <c r="H18" s="31">
        <f t="shared" si="3"/>
        <v>18.09286049</v>
      </c>
      <c r="I18" s="26">
        <v>69549.33589000003</v>
      </c>
      <c r="J18" s="31">
        <f t="shared" si="4"/>
        <v>6.054001199</v>
      </c>
      <c r="K18" s="26">
        <v>109371.76022999999</v>
      </c>
      <c r="L18" s="31">
        <f t="shared" si="5"/>
        <v>9.520389507</v>
      </c>
      <c r="M18" s="26">
        <v>194665.23045000003</v>
      </c>
      <c r="N18" s="31">
        <f t="shared" si="6"/>
        <v>16.94485682</v>
      </c>
      <c r="O18" s="26">
        <v>701556.2361199998</v>
      </c>
      <c r="P18" s="31">
        <f t="shared" si="7"/>
        <v>61.06776205</v>
      </c>
    </row>
    <row r="19">
      <c r="A19" s="25" t="s">
        <v>54</v>
      </c>
      <c r="B19" s="26">
        <f>'i_C21&amp;23'!C19</f>
        <v>847079.1794</v>
      </c>
      <c r="C19" s="26">
        <v>359267.6948200001</v>
      </c>
      <c r="D19" s="31">
        <f t="shared" si="1"/>
        <v>42.41252808</v>
      </c>
      <c r="E19" s="26">
        <v>95244.99094</v>
      </c>
      <c r="F19" s="31">
        <f t="shared" si="2"/>
        <v>11.24393011</v>
      </c>
      <c r="G19" s="26">
        <v>64656.05071000001</v>
      </c>
      <c r="H19" s="31">
        <f t="shared" si="3"/>
        <v>7.632822561</v>
      </c>
      <c r="I19" s="26">
        <v>45227.32786</v>
      </c>
      <c r="J19" s="31">
        <f t="shared" si="4"/>
        <v>5.339209009</v>
      </c>
      <c r="K19" s="26">
        <v>23488.374869999996</v>
      </c>
      <c r="L19" s="31">
        <f t="shared" si="5"/>
        <v>2.772866509</v>
      </c>
      <c r="M19" s="26">
        <v>311689.7775500003</v>
      </c>
      <c r="N19" s="31">
        <f t="shared" si="6"/>
        <v>36.7958256</v>
      </c>
      <c r="O19" s="26">
        <v>430883.1753999995</v>
      </c>
      <c r="P19" s="31">
        <f t="shared" si="7"/>
        <v>50.86693026</v>
      </c>
    </row>
    <row r="20">
      <c r="A20" s="25" t="s">
        <v>56</v>
      </c>
      <c r="B20" s="26">
        <f>'i_C21&amp;23'!C20</f>
        <v>1032784.675</v>
      </c>
      <c r="C20" s="26">
        <v>239892.20246800003</v>
      </c>
      <c r="D20" s="31">
        <f t="shared" si="1"/>
        <v>23.2277074</v>
      </c>
      <c r="E20" s="26">
        <v>80697.89303000004</v>
      </c>
      <c r="F20" s="31">
        <f t="shared" si="2"/>
        <v>7.813622235</v>
      </c>
      <c r="G20" s="26">
        <v>74504.50674699999</v>
      </c>
      <c r="H20" s="31">
        <f t="shared" si="3"/>
        <v>7.213943868</v>
      </c>
      <c r="I20" s="26">
        <v>44020.257040000004</v>
      </c>
      <c r="J20" s="31">
        <f t="shared" si="4"/>
        <v>4.262287977</v>
      </c>
      <c r="K20" s="26">
        <v>30009.952171</v>
      </c>
      <c r="L20" s="31">
        <f t="shared" si="5"/>
        <v>2.905731745</v>
      </c>
      <c r="M20" s="26">
        <v>206471.88998700006</v>
      </c>
      <c r="N20" s="31">
        <f t="shared" si="6"/>
        <v>19.99176546</v>
      </c>
      <c r="O20" s="26">
        <v>766116.9224210002</v>
      </c>
      <c r="P20" s="31">
        <f t="shared" si="7"/>
        <v>74.17973376</v>
      </c>
    </row>
    <row r="21" ht="15.75" customHeight="1">
      <c r="A21" s="25" t="s">
        <v>57</v>
      </c>
      <c r="B21" s="26">
        <f>'i_C21&amp;23'!C21</f>
        <v>468435.5389</v>
      </c>
      <c r="C21" s="26">
        <v>126271.94587000001</v>
      </c>
      <c r="D21" s="31">
        <f t="shared" si="1"/>
        <v>26.95609863</v>
      </c>
      <c r="E21" s="26">
        <v>40611.83994999998</v>
      </c>
      <c r="F21" s="31">
        <f t="shared" si="2"/>
        <v>8.669675244</v>
      </c>
      <c r="G21" s="26">
        <v>36721.4502</v>
      </c>
      <c r="H21" s="31">
        <f t="shared" si="3"/>
        <v>7.839168285</v>
      </c>
      <c r="I21" s="26">
        <v>18882.292620000004</v>
      </c>
      <c r="J21" s="31">
        <f t="shared" si="4"/>
        <v>4.030926574</v>
      </c>
      <c r="K21" s="26">
        <v>17775.61824</v>
      </c>
      <c r="L21" s="31">
        <f t="shared" si="5"/>
        <v>3.794677552</v>
      </c>
      <c r="M21" s="26">
        <v>213762.26090999998</v>
      </c>
      <c r="N21" s="31">
        <f t="shared" si="6"/>
        <v>45.63322873</v>
      </c>
      <c r="O21" s="26">
        <v>283524.92849999986</v>
      </c>
      <c r="P21" s="31">
        <f t="shared" si="7"/>
        <v>60.52592192</v>
      </c>
    </row>
    <row r="22" ht="15.75" customHeight="1">
      <c r="A22" s="25" t="s">
        <v>59</v>
      </c>
      <c r="B22" s="26">
        <f>'i_C21&amp;23'!C22</f>
        <v>436933.2556</v>
      </c>
      <c r="C22" s="26">
        <v>115955.32052000011</v>
      </c>
      <c r="D22" s="31">
        <f t="shared" si="1"/>
        <v>26.53845159</v>
      </c>
      <c r="E22" s="26">
        <v>48834.517050000024</v>
      </c>
      <c r="F22" s="31">
        <f t="shared" si="2"/>
        <v>11.17665374</v>
      </c>
      <c r="G22" s="26">
        <v>83586.24727</v>
      </c>
      <c r="H22" s="31">
        <f t="shared" si="3"/>
        <v>19.13020952</v>
      </c>
      <c r="I22" s="26">
        <v>45150.156029999984</v>
      </c>
      <c r="J22" s="31">
        <f t="shared" si="4"/>
        <v>10.33342174</v>
      </c>
      <c r="K22" s="26">
        <v>18771.70582</v>
      </c>
      <c r="L22" s="31">
        <f t="shared" si="5"/>
        <v>4.296241034</v>
      </c>
      <c r="M22" s="26">
        <v>156426.7714900001</v>
      </c>
      <c r="N22" s="31">
        <f t="shared" si="6"/>
        <v>35.8010679</v>
      </c>
      <c r="O22" s="26">
        <v>276565.03923000017</v>
      </c>
      <c r="P22" s="31">
        <f t="shared" si="7"/>
        <v>63.29686186</v>
      </c>
    </row>
    <row r="23" ht="15.75" customHeight="1">
      <c r="A23" s="25" t="s">
        <v>60</v>
      </c>
      <c r="B23" s="26">
        <f>'i_C21&amp;23'!C23</f>
        <v>696681.6875</v>
      </c>
      <c r="C23" s="26">
        <v>220597.72714000006</v>
      </c>
      <c r="D23" s="31">
        <f t="shared" si="1"/>
        <v>31.66406281</v>
      </c>
      <c r="E23" s="26">
        <v>118558.63680999998</v>
      </c>
      <c r="F23" s="31">
        <f t="shared" si="2"/>
        <v>17.01761923</v>
      </c>
      <c r="G23" s="26">
        <v>45766.846320000004</v>
      </c>
      <c r="H23" s="31">
        <f t="shared" si="3"/>
        <v>6.569262138</v>
      </c>
      <c r="I23" s="26">
        <v>70581.43450999999</v>
      </c>
      <c r="J23" s="31">
        <f t="shared" si="4"/>
        <v>10.13108795</v>
      </c>
      <c r="K23" s="26">
        <v>34613.73701</v>
      </c>
      <c r="L23" s="31">
        <f t="shared" si="5"/>
        <v>4.968371874</v>
      </c>
      <c r="M23" s="26">
        <v>216259.29300999994</v>
      </c>
      <c r="N23" s="31">
        <f t="shared" si="6"/>
        <v>31.0413345</v>
      </c>
      <c r="O23" s="26">
        <v>438753.94010000007</v>
      </c>
      <c r="P23" s="31">
        <f t="shared" si="7"/>
        <v>62.9776766</v>
      </c>
    </row>
    <row r="24" ht="15.75" customHeight="1">
      <c r="A24" s="25" t="s">
        <v>63</v>
      </c>
      <c r="B24" s="26">
        <f>'i_C21&amp;23'!C24</f>
        <v>924109.8131</v>
      </c>
      <c r="C24" s="26">
        <v>241736.12898999988</v>
      </c>
      <c r="D24" s="31">
        <f t="shared" si="1"/>
        <v>26.15880987</v>
      </c>
      <c r="E24" s="26">
        <v>68643.54727000001</v>
      </c>
      <c r="F24" s="31">
        <f t="shared" si="2"/>
        <v>7.42807254</v>
      </c>
      <c r="G24" s="26">
        <v>100492.53449000002</v>
      </c>
      <c r="H24" s="31">
        <f t="shared" si="3"/>
        <v>10.87452303</v>
      </c>
      <c r="I24" s="26">
        <v>53134.29823999999</v>
      </c>
      <c r="J24" s="31">
        <f t="shared" si="4"/>
        <v>5.749781843</v>
      </c>
      <c r="K24" s="26">
        <v>55235.959939999986</v>
      </c>
      <c r="L24" s="31">
        <f t="shared" si="5"/>
        <v>5.977207379</v>
      </c>
      <c r="M24" s="26">
        <v>405305.2924799997</v>
      </c>
      <c r="N24" s="31">
        <f t="shared" si="6"/>
        <v>43.8589967</v>
      </c>
      <c r="O24" s="26">
        <v>631113.2471999999</v>
      </c>
      <c r="P24" s="31">
        <f t="shared" si="7"/>
        <v>68.29418303</v>
      </c>
    </row>
    <row r="25" ht="15.75" customHeight="1">
      <c r="A25" s="25" t="s">
        <v>64</v>
      </c>
      <c r="B25" s="26">
        <f>'i_C21&amp;23'!C25</f>
        <v>235590.018</v>
      </c>
      <c r="C25" s="26">
        <v>86490.14227000003</v>
      </c>
      <c r="D25" s="31">
        <f t="shared" si="1"/>
        <v>36.71214214</v>
      </c>
      <c r="E25" s="26">
        <v>28642.095460000008</v>
      </c>
      <c r="F25" s="31">
        <f t="shared" si="2"/>
        <v>12.15760146</v>
      </c>
      <c r="G25" s="26">
        <v>15142.59669</v>
      </c>
      <c r="H25" s="31">
        <f t="shared" si="3"/>
        <v>6.427520495</v>
      </c>
      <c r="I25" s="26">
        <v>12391.860889999998</v>
      </c>
      <c r="J25" s="31">
        <f t="shared" si="4"/>
        <v>5.259926119</v>
      </c>
      <c r="K25" s="26">
        <v>7687.17202</v>
      </c>
      <c r="L25" s="31">
        <f t="shared" si="5"/>
        <v>3.262944706</v>
      </c>
      <c r="M25" s="26">
        <v>31959.30953</v>
      </c>
      <c r="N25" s="31">
        <f t="shared" si="6"/>
        <v>13.56564671</v>
      </c>
      <c r="O25" s="26">
        <v>146232.83654999992</v>
      </c>
      <c r="P25" s="31">
        <f t="shared" si="7"/>
        <v>62.07089663</v>
      </c>
    </row>
    <row r="26" ht="15.75" customHeight="1">
      <c r="A26" s="25" t="s">
        <v>65</v>
      </c>
      <c r="B26" s="26">
        <f>'i_C21&amp;23'!C26</f>
        <v>130981.064</v>
      </c>
      <c r="C26" s="26">
        <v>44725.11738600001</v>
      </c>
      <c r="D26" s="31">
        <f t="shared" si="1"/>
        <v>34.14624682</v>
      </c>
      <c r="E26" s="26">
        <v>6736.178150000001</v>
      </c>
      <c r="F26" s="31">
        <f t="shared" si="2"/>
        <v>5.142864126</v>
      </c>
      <c r="G26" s="26">
        <v>7088.4191500000015</v>
      </c>
      <c r="H26" s="31">
        <f t="shared" si="3"/>
        <v>5.411789258</v>
      </c>
      <c r="I26" s="26">
        <v>10309.3375</v>
      </c>
      <c r="J26" s="31">
        <f t="shared" si="4"/>
        <v>7.870861014</v>
      </c>
      <c r="K26" s="26">
        <v>10052.565739999998</v>
      </c>
      <c r="L26" s="31">
        <f t="shared" si="5"/>
        <v>7.6748237</v>
      </c>
      <c r="M26" s="26">
        <v>4570.37604</v>
      </c>
      <c r="N26" s="31">
        <f t="shared" si="6"/>
        <v>3.489341056</v>
      </c>
      <c r="O26" s="26">
        <v>78007.00103799999</v>
      </c>
      <c r="P26" s="31">
        <f t="shared" si="7"/>
        <v>59.55593784</v>
      </c>
    </row>
    <row r="27" ht="15.75" customHeight="1">
      <c r="A27" s="28"/>
      <c r="B27" s="28"/>
      <c r="C27" s="28"/>
      <c r="D27" s="28"/>
      <c r="E27" s="28"/>
      <c r="F27" s="28"/>
      <c r="G27" s="28"/>
      <c r="H27" s="28"/>
      <c r="I27" s="28"/>
      <c r="J27" s="28"/>
      <c r="K27" s="28"/>
      <c r="L27" s="28"/>
      <c r="M27" s="28"/>
      <c r="N27" s="28"/>
      <c r="O27" s="28"/>
      <c r="P27" s="28"/>
    </row>
    <row r="28" ht="15.75" customHeight="1">
      <c r="A28" s="8"/>
      <c r="B28" s="9"/>
      <c r="C28" s="9"/>
      <c r="D28" s="9"/>
      <c r="E28" s="9"/>
      <c r="F28" s="9"/>
      <c r="G28" s="9"/>
      <c r="H28" s="9"/>
      <c r="I28" s="9"/>
      <c r="J28" s="9"/>
      <c r="K28" s="9"/>
      <c r="L28" s="9"/>
      <c r="M28" s="9"/>
      <c r="N28" s="9"/>
      <c r="O28" s="9"/>
      <c r="P28" s="9"/>
    </row>
    <row r="29" ht="15.75" customHeight="1">
      <c r="A29" s="10" t="s">
        <v>13</v>
      </c>
      <c r="B29" s="42">
        <v>2024.0</v>
      </c>
      <c r="C29" s="14"/>
      <c r="D29" s="14"/>
      <c r="E29" s="14"/>
      <c r="F29" s="14"/>
      <c r="G29" s="14"/>
      <c r="H29" s="14"/>
      <c r="I29" s="14"/>
      <c r="J29" s="14"/>
      <c r="K29" s="14"/>
      <c r="L29" s="14"/>
      <c r="M29" s="14"/>
      <c r="N29" s="14"/>
      <c r="O29" s="14"/>
      <c r="P29" s="15"/>
    </row>
    <row r="30" ht="15.0" customHeight="1">
      <c r="A30" s="17"/>
      <c r="B30" s="21" t="s">
        <v>256</v>
      </c>
      <c r="C30" s="42" t="s">
        <v>261</v>
      </c>
      <c r="D30" s="14"/>
      <c r="E30" s="14"/>
      <c r="F30" s="14"/>
      <c r="G30" s="14"/>
      <c r="H30" s="14"/>
      <c r="I30" s="14"/>
      <c r="J30" s="14"/>
      <c r="K30" s="14"/>
      <c r="L30" s="14"/>
      <c r="M30" s="14"/>
      <c r="N30" s="14"/>
      <c r="O30" s="14"/>
      <c r="P30" s="15"/>
    </row>
    <row r="31" ht="30.0" customHeight="1">
      <c r="A31" s="17"/>
      <c r="B31" s="17"/>
      <c r="C31" s="13" t="s">
        <v>262</v>
      </c>
      <c r="D31" s="15"/>
      <c r="E31" s="13" t="s">
        <v>205</v>
      </c>
      <c r="F31" s="15"/>
      <c r="G31" s="13" t="s">
        <v>264</v>
      </c>
      <c r="H31" s="15"/>
      <c r="I31" s="13" t="s">
        <v>265</v>
      </c>
      <c r="J31" s="15"/>
      <c r="K31" s="13" t="s">
        <v>267</v>
      </c>
      <c r="L31" s="15"/>
      <c r="M31" s="13" t="s">
        <v>268</v>
      </c>
      <c r="N31" s="15"/>
      <c r="O31" s="13" t="s">
        <v>269</v>
      </c>
      <c r="P31" s="15"/>
    </row>
    <row r="32" ht="15.75" customHeight="1">
      <c r="A32" s="18"/>
      <c r="B32" s="18"/>
      <c r="C32" s="24" t="s">
        <v>37</v>
      </c>
      <c r="D32" s="24" t="s">
        <v>39</v>
      </c>
      <c r="E32" s="24" t="s">
        <v>37</v>
      </c>
      <c r="F32" s="24" t="s">
        <v>39</v>
      </c>
      <c r="G32" s="24" t="s">
        <v>37</v>
      </c>
      <c r="H32" s="24" t="s">
        <v>39</v>
      </c>
      <c r="I32" s="24" t="s">
        <v>37</v>
      </c>
      <c r="J32" s="24" t="s">
        <v>39</v>
      </c>
      <c r="K32" s="24" t="s">
        <v>37</v>
      </c>
      <c r="L32" s="24" t="s">
        <v>39</v>
      </c>
      <c r="M32" s="24" t="s">
        <v>37</v>
      </c>
      <c r="N32" s="24" t="s">
        <v>39</v>
      </c>
      <c r="O32" s="24" t="s">
        <v>37</v>
      </c>
      <c r="P32" s="24" t="s">
        <v>39</v>
      </c>
    </row>
    <row r="33" ht="15.75" customHeight="1">
      <c r="A33" s="16"/>
      <c r="B33" s="20"/>
      <c r="C33" s="20"/>
      <c r="D33" s="20"/>
      <c r="E33" s="20"/>
      <c r="F33" s="20"/>
      <c r="G33" s="20"/>
      <c r="H33" s="20"/>
      <c r="I33" s="20"/>
      <c r="J33" s="20"/>
      <c r="K33" s="20"/>
      <c r="L33" s="20"/>
      <c r="M33" s="20"/>
      <c r="N33" s="20"/>
      <c r="O33" s="20"/>
      <c r="P33" s="20"/>
    </row>
    <row r="34" ht="15.75" customHeight="1">
      <c r="A34" s="22" t="s">
        <v>33</v>
      </c>
      <c r="B34" s="23">
        <v>6.1457081E7</v>
      </c>
      <c r="C34" s="23">
        <v>4.4943573E7</v>
      </c>
      <c r="D34" s="27">
        <f t="shared" ref="D34:D51" si="8">(C34/$B34)*100</f>
        <v>73.13001573</v>
      </c>
      <c r="E34" s="23">
        <v>1.2244617E7</v>
      </c>
      <c r="F34" s="27">
        <f t="shared" ref="F34:F51" si="9">(E34/$B34)*100</f>
        <v>19.9238506</v>
      </c>
      <c r="G34" s="23">
        <v>9281896.0</v>
      </c>
      <c r="H34" s="27">
        <f t="shared" ref="H34:H51" si="10">(G34/$B34)*100</f>
        <v>15.10305379</v>
      </c>
      <c r="I34" s="23">
        <v>2.2663051E7</v>
      </c>
      <c r="J34" s="27">
        <f t="shared" ref="J34:J51" si="11">(I34/$B34)*100</f>
        <v>36.87622424</v>
      </c>
      <c r="K34" s="23">
        <v>7083397.0</v>
      </c>
      <c r="L34" s="27">
        <f t="shared" ref="L34:L51" si="12">(K34/$B34)*100</f>
        <v>11.52576218</v>
      </c>
      <c r="M34" s="23">
        <v>1.8551656E7</v>
      </c>
      <c r="N34" s="27">
        <f t="shared" ref="N34:N51" si="13">(M34/$B34)*100</f>
        <v>30.18636046</v>
      </c>
      <c r="O34" s="23">
        <v>1.682243E7</v>
      </c>
      <c r="P34" s="27">
        <f t="shared" ref="P34:P51" si="14">(O34/$B34)*100</f>
        <v>27.37264726</v>
      </c>
      <c r="Q34" s="41"/>
      <c r="R34" s="41"/>
    </row>
    <row r="35" ht="15.75" customHeight="1">
      <c r="A35" s="25" t="s">
        <v>38</v>
      </c>
      <c r="B35" s="26">
        <v>9448296.0</v>
      </c>
      <c r="C35" s="26">
        <v>8100695.0</v>
      </c>
      <c r="D35" s="31">
        <f t="shared" si="8"/>
        <v>85.73710011</v>
      </c>
      <c r="E35" s="26">
        <v>2660169.0</v>
      </c>
      <c r="F35" s="31">
        <f t="shared" si="9"/>
        <v>28.15501335</v>
      </c>
      <c r="G35" s="26">
        <v>832377.0</v>
      </c>
      <c r="H35" s="31">
        <f t="shared" si="10"/>
        <v>8.809810785</v>
      </c>
      <c r="I35" s="26">
        <v>2672814.0</v>
      </c>
      <c r="J35" s="31">
        <f t="shared" si="11"/>
        <v>28.288847</v>
      </c>
      <c r="K35" s="26">
        <v>615473.0</v>
      </c>
      <c r="L35" s="31">
        <f t="shared" si="12"/>
        <v>6.514116408</v>
      </c>
      <c r="M35" s="26">
        <v>1621505.0</v>
      </c>
      <c r="N35" s="31">
        <f t="shared" si="13"/>
        <v>17.16187765</v>
      </c>
      <c r="O35" s="26">
        <v>3699942.0</v>
      </c>
      <c r="P35" s="31">
        <f t="shared" si="14"/>
        <v>39.15988661</v>
      </c>
      <c r="Q35" s="41"/>
      <c r="R35" s="41"/>
    </row>
    <row r="36" ht="15.75" customHeight="1">
      <c r="A36" s="25" t="s">
        <v>41</v>
      </c>
      <c r="B36" s="26">
        <v>1074349.0</v>
      </c>
      <c r="C36" s="26">
        <v>729281.0</v>
      </c>
      <c r="D36" s="31">
        <f t="shared" si="8"/>
        <v>67.88120062</v>
      </c>
      <c r="E36" s="26">
        <v>197956.0</v>
      </c>
      <c r="F36" s="31">
        <f t="shared" si="9"/>
        <v>18.42566987</v>
      </c>
      <c r="G36" s="26">
        <v>216180.0</v>
      </c>
      <c r="H36" s="31">
        <f t="shared" si="10"/>
        <v>20.12195292</v>
      </c>
      <c r="I36" s="26">
        <v>469944.0</v>
      </c>
      <c r="J36" s="31">
        <f t="shared" si="11"/>
        <v>43.7422104</v>
      </c>
      <c r="K36" s="26">
        <v>282748.0</v>
      </c>
      <c r="L36" s="31">
        <f t="shared" si="12"/>
        <v>26.31807727</v>
      </c>
      <c r="M36" s="26">
        <v>259930.0</v>
      </c>
      <c r="N36" s="31">
        <f t="shared" si="13"/>
        <v>24.19418643</v>
      </c>
      <c r="O36" s="26">
        <v>455765.0</v>
      </c>
      <c r="P36" s="31">
        <f t="shared" si="14"/>
        <v>42.42243442</v>
      </c>
      <c r="Q36" s="41"/>
      <c r="R36" s="41"/>
    </row>
    <row r="37" ht="15.75" customHeight="1">
      <c r="A37" s="25" t="s">
        <v>43</v>
      </c>
      <c r="B37" s="26">
        <v>3260630.0</v>
      </c>
      <c r="C37" s="26">
        <v>2700608.0</v>
      </c>
      <c r="D37" s="31">
        <f t="shared" si="8"/>
        <v>82.82473019</v>
      </c>
      <c r="E37" s="26">
        <v>664372.0</v>
      </c>
      <c r="F37" s="31">
        <f t="shared" si="9"/>
        <v>20.37557159</v>
      </c>
      <c r="G37" s="26">
        <v>816363.0</v>
      </c>
      <c r="H37" s="31">
        <f t="shared" si="10"/>
        <v>25.03697138</v>
      </c>
      <c r="I37" s="26">
        <v>1815028.0</v>
      </c>
      <c r="J37" s="31">
        <f t="shared" si="11"/>
        <v>55.66494818</v>
      </c>
      <c r="K37" s="26">
        <v>756020.0</v>
      </c>
      <c r="L37" s="31">
        <f t="shared" si="12"/>
        <v>23.18631675</v>
      </c>
      <c r="M37" s="26">
        <v>699960.0</v>
      </c>
      <c r="N37" s="31">
        <f t="shared" si="13"/>
        <v>21.46701711</v>
      </c>
      <c r="O37" s="26">
        <v>559252.0</v>
      </c>
      <c r="P37" s="31">
        <f t="shared" si="14"/>
        <v>17.15165474</v>
      </c>
      <c r="Q37" s="41"/>
      <c r="R37" s="41"/>
    </row>
    <row r="38" ht="15.75" customHeight="1">
      <c r="A38" s="25" t="s">
        <v>44</v>
      </c>
      <c r="B38" s="26">
        <v>2290016.0</v>
      </c>
      <c r="C38" s="26">
        <v>1884107.0</v>
      </c>
      <c r="D38" s="31">
        <f t="shared" si="8"/>
        <v>82.27484</v>
      </c>
      <c r="E38" s="26">
        <v>477439.0</v>
      </c>
      <c r="F38" s="31">
        <f t="shared" si="9"/>
        <v>20.84871896</v>
      </c>
      <c r="G38" s="26">
        <v>465572.0</v>
      </c>
      <c r="H38" s="31">
        <f t="shared" si="10"/>
        <v>20.33051297</v>
      </c>
      <c r="I38" s="26">
        <v>759885.0</v>
      </c>
      <c r="J38" s="31">
        <f t="shared" si="11"/>
        <v>33.18251925</v>
      </c>
      <c r="K38" s="26">
        <v>344838.0</v>
      </c>
      <c r="L38" s="31">
        <f t="shared" si="12"/>
        <v>15.05832274</v>
      </c>
      <c r="M38" s="26">
        <v>382990.0</v>
      </c>
      <c r="N38" s="31">
        <f t="shared" si="13"/>
        <v>16.7243373</v>
      </c>
      <c r="O38" s="26">
        <v>906310.0</v>
      </c>
      <c r="P38" s="31">
        <f t="shared" si="14"/>
        <v>39.57657938</v>
      </c>
      <c r="Q38" s="41"/>
      <c r="R38" s="41"/>
    </row>
    <row r="39" ht="15.75" customHeight="1">
      <c r="A39" s="25" t="s">
        <v>46</v>
      </c>
      <c r="B39" s="26">
        <v>7926396.0</v>
      </c>
      <c r="C39" s="26">
        <v>6753644.0</v>
      </c>
      <c r="D39" s="31">
        <f t="shared" si="8"/>
        <v>85.20447376</v>
      </c>
      <c r="E39" s="26">
        <v>1359893.0</v>
      </c>
      <c r="F39" s="31">
        <f t="shared" si="9"/>
        <v>17.15651098</v>
      </c>
      <c r="G39" s="26">
        <v>1001581.0</v>
      </c>
      <c r="H39" s="31">
        <f t="shared" si="10"/>
        <v>12.6360202</v>
      </c>
      <c r="I39" s="26">
        <v>3022496.0</v>
      </c>
      <c r="J39" s="31">
        <f t="shared" si="11"/>
        <v>38.13203378</v>
      </c>
      <c r="K39" s="26">
        <v>826556.0</v>
      </c>
      <c r="L39" s="31">
        <f t="shared" si="12"/>
        <v>10.42789182</v>
      </c>
      <c r="M39" s="26">
        <v>1551486.0</v>
      </c>
      <c r="N39" s="31">
        <f t="shared" si="13"/>
        <v>19.57366248</v>
      </c>
      <c r="O39" s="26">
        <v>1954574.0</v>
      </c>
      <c r="P39" s="31">
        <f t="shared" si="14"/>
        <v>24.65905059</v>
      </c>
      <c r="Q39" s="41"/>
      <c r="R39" s="41"/>
    </row>
    <row r="40" ht="15.75" customHeight="1">
      <c r="A40" s="25" t="s">
        <v>48</v>
      </c>
      <c r="B40" s="26">
        <v>9979157.0</v>
      </c>
      <c r="C40" s="26">
        <v>7268535.0</v>
      </c>
      <c r="D40" s="31">
        <f t="shared" si="8"/>
        <v>72.8371645</v>
      </c>
      <c r="E40" s="26">
        <v>2341586.0</v>
      </c>
      <c r="F40" s="31">
        <f t="shared" si="9"/>
        <v>23.46476762</v>
      </c>
      <c r="G40" s="26">
        <v>1338277.0</v>
      </c>
      <c r="H40" s="31">
        <f t="shared" si="10"/>
        <v>13.41072197</v>
      </c>
      <c r="I40" s="26">
        <v>4052375.0</v>
      </c>
      <c r="J40" s="31">
        <f t="shared" si="11"/>
        <v>40.60839007</v>
      </c>
      <c r="K40" s="26">
        <v>998360.0</v>
      </c>
      <c r="L40" s="31">
        <f t="shared" si="12"/>
        <v>10.00445228</v>
      </c>
      <c r="M40" s="26">
        <v>2417919.0</v>
      </c>
      <c r="N40" s="31">
        <f t="shared" si="13"/>
        <v>24.22969195</v>
      </c>
      <c r="O40" s="26">
        <v>3177002.0</v>
      </c>
      <c r="P40" s="31">
        <f t="shared" si="14"/>
        <v>31.83637656</v>
      </c>
      <c r="Q40" s="41"/>
      <c r="R40" s="41"/>
    </row>
    <row r="41" ht="15.75" customHeight="1">
      <c r="A41" s="25" t="s">
        <v>50</v>
      </c>
      <c r="B41" s="26">
        <v>1614249.0</v>
      </c>
      <c r="C41" s="26">
        <v>986584.0</v>
      </c>
      <c r="D41" s="31">
        <f t="shared" si="8"/>
        <v>61.11721302</v>
      </c>
      <c r="E41" s="26">
        <v>266244.0</v>
      </c>
      <c r="F41" s="31">
        <f t="shared" si="9"/>
        <v>16.49336627</v>
      </c>
      <c r="G41" s="26">
        <v>244214.0</v>
      </c>
      <c r="H41" s="31">
        <f t="shared" si="10"/>
        <v>15.12864496</v>
      </c>
      <c r="I41" s="26">
        <v>722632.0</v>
      </c>
      <c r="J41" s="31">
        <f t="shared" si="11"/>
        <v>44.76583228</v>
      </c>
      <c r="K41" s="26">
        <v>229261.0</v>
      </c>
      <c r="L41" s="31">
        <f t="shared" si="12"/>
        <v>14.20233186</v>
      </c>
      <c r="M41" s="26">
        <v>496846.0</v>
      </c>
      <c r="N41" s="31">
        <f t="shared" si="13"/>
        <v>30.77877081</v>
      </c>
      <c r="O41" s="26">
        <v>155407.0</v>
      </c>
      <c r="P41" s="31">
        <f t="shared" si="14"/>
        <v>9.627201256</v>
      </c>
      <c r="Q41" s="41"/>
      <c r="R41" s="41"/>
    </row>
    <row r="42" ht="15.75" customHeight="1">
      <c r="A42" s="25" t="s">
        <v>51</v>
      </c>
      <c r="B42" s="26">
        <v>3094742.0</v>
      </c>
      <c r="C42" s="26">
        <v>1815882.0</v>
      </c>
      <c r="D42" s="31">
        <f t="shared" si="8"/>
        <v>58.67636139</v>
      </c>
      <c r="E42" s="26">
        <v>408716.0</v>
      </c>
      <c r="F42" s="31">
        <f t="shared" si="9"/>
        <v>13.20678751</v>
      </c>
      <c r="G42" s="26">
        <v>470286.0</v>
      </c>
      <c r="H42" s="31">
        <f t="shared" si="10"/>
        <v>15.196291</v>
      </c>
      <c r="I42" s="26">
        <v>920843.0</v>
      </c>
      <c r="J42" s="31">
        <f t="shared" si="11"/>
        <v>29.75508136</v>
      </c>
      <c r="K42" s="26">
        <v>329174.0</v>
      </c>
      <c r="L42" s="31">
        <f t="shared" si="12"/>
        <v>10.6365571</v>
      </c>
      <c r="M42" s="26">
        <v>1413544.0</v>
      </c>
      <c r="N42" s="31">
        <f t="shared" si="13"/>
        <v>45.67566537</v>
      </c>
      <c r="O42" s="26">
        <v>967117.0</v>
      </c>
      <c r="P42" s="31">
        <f t="shared" si="14"/>
        <v>31.25032717</v>
      </c>
      <c r="Q42" s="41"/>
      <c r="R42" s="41"/>
    </row>
    <row r="43" ht="15.75" customHeight="1">
      <c r="A43" s="25" t="s">
        <v>53</v>
      </c>
      <c r="B43" s="26">
        <v>4053706.0</v>
      </c>
      <c r="C43" s="26">
        <v>2889155.0</v>
      </c>
      <c r="D43" s="31">
        <f t="shared" si="8"/>
        <v>71.27194227</v>
      </c>
      <c r="E43" s="26">
        <v>780799.0</v>
      </c>
      <c r="F43" s="31">
        <f t="shared" si="9"/>
        <v>19.26136232</v>
      </c>
      <c r="G43" s="26">
        <v>817589.0</v>
      </c>
      <c r="H43" s="31">
        <f t="shared" si="10"/>
        <v>20.1689269</v>
      </c>
      <c r="I43" s="26">
        <v>1179214.0</v>
      </c>
      <c r="J43" s="31">
        <f t="shared" si="11"/>
        <v>29.08977612</v>
      </c>
      <c r="K43" s="26">
        <v>620407.0</v>
      </c>
      <c r="L43" s="31">
        <f t="shared" si="12"/>
        <v>15.30468663</v>
      </c>
      <c r="M43" s="26">
        <v>1460028.0</v>
      </c>
      <c r="N43" s="31">
        <f t="shared" si="13"/>
        <v>36.01711619</v>
      </c>
      <c r="O43" s="26">
        <v>627464.0</v>
      </c>
      <c r="P43" s="31">
        <f t="shared" si="14"/>
        <v>15.47877424</v>
      </c>
      <c r="Q43" s="41"/>
      <c r="R43" s="41"/>
    </row>
    <row r="44" ht="15.75" customHeight="1">
      <c r="A44" s="25" t="s">
        <v>54</v>
      </c>
      <c r="B44" s="26">
        <v>4522717.0</v>
      </c>
      <c r="C44" s="26">
        <v>3056236.0</v>
      </c>
      <c r="D44" s="31">
        <f t="shared" si="8"/>
        <v>67.57522082</v>
      </c>
      <c r="E44" s="26">
        <v>947528.0</v>
      </c>
      <c r="F44" s="31">
        <f t="shared" si="9"/>
        <v>20.95041543</v>
      </c>
      <c r="G44" s="26">
        <v>700238.0</v>
      </c>
      <c r="H44" s="31">
        <f t="shared" si="10"/>
        <v>15.48268441</v>
      </c>
      <c r="I44" s="26">
        <v>1512763.0</v>
      </c>
      <c r="J44" s="31">
        <f t="shared" si="11"/>
        <v>33.4481021</v>
      </c>
      <c r="K44" s="26">
        <v>588888.0</v>
      </c>
      <c r="L44" s="31">
        <f t="shared" si="12"/>
        <v>13.02066877</v>
      </c>
      <c r="M44" s="26">
        <v>1776698.0</v>
      </c>
      <c r="N44" s="31">
        <f t="shared" si="13"/>
        <v>39.2838641</v>
      </c>
      <c r="O44" s="26">
        <v>1848332.0</v>
      </c>
      <c r="P44" s="31">
        <f t="shared" si="14"/>
        <v>40.86773504</v>
      </c>
      <c r="Q44" s="41"/>
      <c r="R44" s="41"/>
    </row>
    <row r="45" ht="15.75" customHeight="1">
      <c r="A45" s="25" t="s">
        <v>56</v>
      </c>
      <c r="B45" s="26">
        <v>2570726.0</v>
      </c>
      <c r="C45" s="26">
        <v>1479729.0</v>
      </c>
      <c r="D45" s="31">
        <f t="shared" si="8"/>
        <v>57.56074354</v>
      </c>
      <c r="E45" s="26">
        <v>427711.0</v>
      </c>
      <c r="F45" s="31">
        <f t="shared" si="9"/>
        <v>16.63775136</v>
      </c>
      <c r="G45" s="26">
        <v>417050.0</v>
      </c>
      <c r="H45" s="31">
        <f t="shared" si="10"/>
        <v>16.22304361</v>
      </c>
      <c r="I45" s="26">
        <v>497985.0</v>
      </c>
      <c r="J45" s="31">
        <f t="shared" si="11"/>
        <v>19.37137602</v>
      </c>
      <c r="K45" s="26">
        <v>183547.0</v>
      </c>
      <c r="L45" s="31">
        <f t="shared" si="12"/>
        <v>7.139889665</v>
      </c>
      <c r="M45" s="26">
        <v>1208656.0</v>
      </c>
      <c r="N45" s="31">
        <f t="shared" si="13"/>
        <v>47.01613474</v>
      </c>
      <c r="O45" s="26">
        <v>517560.0</v>
      </c>
      <c r="P45" s="31">
        <f t="shared" si="14"/>
        <v>20.13283407</v>
      </c>
      <c r="Q45" s="41"/>
      <c r="R45" s="41"/>
    </row>
    <row r="46" ht="15.75" customHeight="1">
      <c r="A46" s="25" t="s">
        <v>57</v>
      </c>
      <c r="B46" s="26">
        <v>1519753.0</v>
      </c>
      <c r="C46" s="26">
        <v>818868.0</v>
      </c>
      <c r="D46" s="31">
        <f t="shared" si="8"/>
        <v>53.88165051</v>
      </c>
      <c r="E46" s="26">
        <v>240870.0</v>
      </c>
      <c r="F46" s="31">
        <f t="shared" si="9"/>
        <v>15.84928604</v>
      </c>
      <c r="G46" s="26">
        <v>259166.0</v>
      </c>
      <c r="H46" s="31">
        <f t="shared" si="10"/>
        <v>17.05316588</v>
      </c>
      <c r="I46" s="26">
        <v>498671.0</v>
      </c>
      <c r="J46" s="31">
        <f t="shared" si="11"/>
        <v>32.81263468</v>
      </c>
      <c r="K46" s="26">
        <v>224202.0</v>
      </c>
      <c r="L46" s="31">
        <f t="shared" si="12"/>
        <v>14.75252886</v>
      </c>
      <c r="M46" s="26">
        <v>924110.0</v>
      </c>
      <c r="N46" s="31">
        <f t="shared" si="13"/>
        <v>60.8065916</v>
      </c>
      <c r="O46" s="26">
        <v>291435.0</v>
      </c>
      <c r="P46" s="31">
        <f t="shared" si="14"/>
        <v>19.17647144</v>
      </c>
      <c r="Q46" s="41"/>
      <c r="R46" s="41"/>
    </row>
    <row r="47" ht="15.75" customHeight="1">
      <c r="A47" s="25" t="s">
        <v>59</v>
      </c>
      <c r="B47" s="26">
        <v>2562942.0</v>
      </c>
      <c r="C47" s="26">
        <v>1763227.0</v>
      </c>
      <c r="D47" s="31">
        <f t="shared" si="8"/>
        <v>68.79699189</v>
      </c>
      <c r="E47" s="26">
        <v>394008.0</v>
      </c>
      <c r="F47" s="31">
        <f t="shared" si="9"/>
        <v>15.37327025</v>
      </c>
      <c r="G47" s="26">
        <v>429542.0</v>
      </c>
      <c r="H47" s="31">
        <f t="shared" si="10"/>
        <v>16.75972379</v>
      </c>
      <c r="I47" s="26">
        <v>997939.0</v>
      </c>
      <c r="J47" s="31">
        <f t="shared" si="11"/>
        <v>38.93724478</v>
      </c>
      <c r="K47" s="26">
        <v>265741.0</v>
      </c>
      <c r="L47" s="31">
        <f t="shared" si="12"/>
        <v>10.36859203</v>
      </c>
      <c r="M47" s="26">
        <v>751939.0</v>
      </c>
      <c r="N47" s="31">
        <f t="shared" si="13"/>
        <v>29.33890037</v>
      </c>
      <c r="O47" s="26">
        <v>568721.0</v>
      </c>
      <c r="P47" s="31">
        <f t="shared" si="14"/>
        <v>22.19016271</v>
      </c>
      <c r="Q47" s="41"/>
      <c r="R47" s="41"/>
    </row>
    <row r="48" ht="15.75" customHeight="1">
      <c r="A48" s="25" t="s">
        <v>60</v>
      </c>
      <c r="B48" s="26">
        <v>2373668.0</v>
      </c>
      <c r="C48" s="26">
        <v>1416375.0</v>
      </c>
      <c r="D48" s="31">
        <f t="shared" si="8"/>
        <v>59.67030773</v>
      </c>
      <c r="E48" s="26">
        <v>381079.0</v>
      </c>
      <c r="F48" s="31">
        <f t="shared" si="9"/>
        <v>16.05443558</v>
      </c>
      <c r="G48" s="26">
        <v>338006.0</v>
      </c>
      <c r="H48" s="31">
        <f t="shared" si="10"/>
        <v>14.23981787</v>
      </c>
      <c r="I48" s="26">
        <v>1142190.0</v>
      </c>
      <c r="J48" s="31">
        <f t="shared" si="11"/>
        <v>48.1191978</v>
      </c>
      <c r="K48" s="26">
        <v>211842.0</v>
      </c>
      <c r="L48" s="31">
        <f t="shared" si="12"/>
        <v>8.924668488</v>
      </c>
      <c r="M48" s="26">
        <v>1439630.0</v>
      </c>
      <c r="N48" s="31">
        <f t="shared" si="13"/>
        <v>60.65001508</v>
      </c>
      <c r="O48" s="26">
        <v>363344.0</v>
      </c>
      <c r="P48" s="31">
        <f t="shared" si="14"/>
        <v>15.3072797</v>
      </c>
      <c r="Q48" s="41"/>
      <c r="R48" s="41"/>
    </row>
    <row r="49" ht="15.75" customHeight="1">
      <c r="A49" s="25" t="s">
        <v>63</v>
      </c>
      <c r="B49" s="26">
        <v>2212721.0</v>
      </c>
      <c r="C49" s="26">
        <v>1683583.0</v>
      </c>
      <c r="D49" s="31">
        <f t="shared" si="8"/>
        <v>76.08654684</v>
      </c>
      <c r="E49" s="26">
        <v>375374.0</v>
      </c>
      <c r="F49" s="31">
        <f t="shared" si="9"/>
        <v>16.96436198</v>
      </c>
      <c r="G49" s="26">
        <v>375343.0</v>
      </c>
      <c r="H49" s="31">
        <f t="shared" si="10"/>
        <v>16.96296099</v>
      </c>
      <c r="I49" s="26">
        <v>991563.0</v>
      </c>
      <c r="J49" s="31">
        <f t="shared" si="11"/>
        <v>44.81193065</v>
      </c>
      <c r="K49" s="26">
        <v>208959.0</v>
      </c>
      <c r="L49" s="31">
        <f t="shared" si="12"/>
        <v>9.44353129</v>
      </c>
      <c r="M49" s="26">
        <v>719980.0</v>
      </c>
      <c r="N49" s="31">
        <f t="shared" si="13"/>
        <v>32.53821878</v>
      </c>
      <c r="O49" s="26">
        <v>72133.0</v>
      </c>
      <c r="P49" s="31">
        <f t="shared" si="14"/>
        <v>3.259922964</v>
      </c>
      <c r="Q49" s="41"/>
      <c r="R49" s="41"/>
    </row>
    <row r="50" ht="15.75" customHeight="1">
      <c r="A50" s="25" t="s">
        <v>64</v>
      </c>
      <c r="B50" s="26">
        <v>1456025.0</v>
      </c>
      <c r="C50" s="26">
        <v>820307.0</v>
      </c>
      <c r="D50" s="31">
        <f t="shared" si="8"/>
        <v>56.33879913</v>
      </c>
      <c r="E50" s="26">
        <v>188655.0</v>
      </c>
      <c r="F50" s="31">
        <f t="shared" si="9"/>
        <v>12.9568517</v>
      </c>
      <c r="G50" s="26">
        <v>289974.0</v>
      </c>
      <c r="H50" s="31">
        <f t="shared" si="10"/>
        <v>19.91545475</v>
      </c>
      <c r="I50" s="26">
        <v>807184.0</v>
      </c>
      <c r="J50" s="31">
        <f t="shared" si="11"/>
        <v>55.43750966</v>
      </c>
      <c r="K50" s="26">
        <v>191403.0</v>
      </c>
      <c r="L50" s="31">
        <f t="shared" si="12"/>
        <v>13.14558473</v>
      </c>
      <c r="M50" s="26">
        <v>678164.0</v>
      </c>
      <c r="N50" s="31">
        <f t="shared" si="13"/>
        <v>46.57639807</v>
      </c>
      <c r="O50" s="26">
        <v>376020.0</v>
      </c>
      <c r="P50" s="31">
        <f t="shared" si="14"/>
        <v>25.82510602</v>
      </c>
      <c r="Q50" s="41"/>
      <c r="R50" s="41"/>
    </row>
    <row r="51" ht="15.75" customHeight="1">
      <c r="A51" s="25" t="s">
        <v>65</v>
      </c>
      <c r="B51" s="26">
        <v>1496986.0</v>
      </c>
      <c r="C51" s="26">
        <v>776758.0</v>
      </c>
      <c r="D51" s="31">
        <f t="shared" si="8"/>
        <v>51.88812721</v>
      </c>
      <c r="E51" s="26">
        <v>132219.0</v>
      </c>
      <c r="F51" s="31">
        <f t="shared" si="9"/>
        <v>8.832347129</v>
      </c>
      <c r="G51" s="26">
        <v>270140.0</v>
      </c>
      <c r="H51" s="31">
        <f t="shared" si="10"/>
        <v>18.04559294</v>
      </c>
      <c r="I51" s="26">
        <v>599523.0</v>
      </c>
      <c r="J51" s="31">
        <f t="shared" si="11"/>
        <v>40.04867113</v>
      </c>
      <c r="K51" s="26">
        <v>205979.0</v>
      </c>
      <c r="L51" s="31">
        <f t="shared" si="12"/>
        <v>13.75958092</v>
      </c>
      <c r="M51" s="26">
        <v>748271.0</v>
      </c>
      <c r="N51" s="31">
        <f t="shared" si="13"/>
        <v>49.9851702</v>
      </c>
      <c r="O51" s="26">
        <v>282053.0</v>
      </c>
      <c r="P51" s="31">
        <f t="shared" si="14"/>
        <v>18.84139197</v>
      </c>
      <c r="Q51" s="41"/>
      <c r="R51" s="41"/>
    </row>
    <row r="52" ht="15.75" customHeight="1">
      <c r="A52" s="28"/>
      <c r="B52" s="28"/>
      <c r="C52" s="28"/>
      <c r="D52" s="28"/>
      <c r="E52" s="28"/>
      <c r="F52" s="28"/>
      <c r="G52" s="28"/>
      <c r="H52" s="28"/>
      <c r="I52" s="28"/>
      <c r="J52" s="28"/>
      <c r="K52" s="28"/>
      <c r="L52" s="28"/>
      <c r="M52" s="28"/>
      <c r="N52" s="28"/>
      <c r="O52" s="28"/>
      <c r="P52" s="28"/>
    </row>
    <row r="53" ht="15.75" customHeight="1">
      <c r="A53" s="9"/>
      <c r="B53" s="9"/>
      <c r="C53" s="9"/>
      <c r="D53" s="9"/>
      <c r="E53" s="9"/>
      <c r="F53" s="9"/>
      <c r="G53" s="54"/>
      <c r="H53" s="37"/>
      <c r="I53" s="9"/>
      <c r="J53" s="9"/>
      <c r="K53" s="9"/>
      <c r="L53" s="9"/>
      <c r="M53" s="9"/>
      <c r="N53" s="9"/>
      <c r="O53" s="9"/>
      <c r="P53" s="9"/>
    </row>
    <row r="54" ht="15.75" customHeight="1">
      <c r="A54" s="29" t="s">
        <v>69</v>
      </c>
      <c r="B54" s="29"/>
      <c r="C54" s="29"/>
      <c r="D54" s="29"/>
      <c r="E54" s="29"/>
      <c r="F54" s="29"/>
      <c r="G54" s="29"/>
      <c r="H54" s="29"/>
      <c r="I54" s="29"/>
      <c r="J54" s="29"/>
      <c r="K54" s="29"/>
      <c r="L54" s="29"/>
      <c r="M54" s="29"/>
      <c r="N54" s="29"/>
      <c r="O54" s="29"/>
      <c r="P54" s="29"/>
    </row>
    <row r="55" ht="15.75" customHeight="1">
      <c r="A55" s="29" t="s">
        <v>72</v>
      </c>
      <c r="B55" s="29"/>
      <c r="C55" s="29"/>
      <c r="D55" s="29"/>
      <c r="E55" s="29"/>
      <c r="F55" s="29"/>
      <c r="G55" s="29"/>
      <c r="H55" s="29"/>
      <c r="I55" s="29"/>
      <c r="J55" s="29"/>
      <c r="K55" s="29"/>
      <c r="L55" s="29"/>
      <c r="M55" s="29"/>
      <c r="N55" s="29"/>
      <c r="O55" s="29"/>
      <c r="P55" s="29"/>
    </row>
    <row r="56" ht="15.75" customHeight="1">
      <c r="A56" s="29" t="s">
        <v>279</v>
      </c>
      <c r="B56" s="29"/>
      <c r="C56" s="29"/>
      <c r="D56" s="29"/>
      <c r="E56" s="29"/>
      <c r="F56" s="29"/>
      <c r="G56" s="29"/>
      <c r="H56" s="29"/>
      <c r="I56" s="29"/>
      <c r="J56" s="29"/>
      <c r="K56" s="29"/>
      <c r="L56" s="29"/>
      <c r="M56" s="29"/>
      <c r="N56" s="29"/>
      <c r="O56" s="29"/>
      <c r="P56" s="29"/>
    </row>
    <row r="57" ht="15.75" customHeight="1">
      <c r="A57" s="29" t="s">
        <v>280</v>
      </c>
      <c r="B57" s="29"/>
      <c r="C57" s="29"/>
      <c r="D57" s="29"/>
      <c r="E57" s="29"/>
      <c r="F57" s="29"/>
      <c r="G57" s="29"/>
      <c r="H57" s="29"/>
      <c r="I57" s="29"/>
      <c r="J57" s="29"/>
      <c r="K57" s="29"/>
      <c r="L57" s="29"/>
      <c r="M57" s="29"/>
      <c r="N57" s="29"/>
      <c r="O57" s="29"/>
      <c r="P57" s="29"/>
    </row>
    <row r="58" ht="15.75" customHeight="1">
      <c r="A58" s="32" t="s">
        <v>76</v>
      </c>
    </row>
    <row r="59" ht="15.75" customHeight="1">
      <c r="A59" s="32"/>
    </row>
    <row r="60" ht="15.75" customHeight="1">
      <c r="D60" s="34"/>
      <c r="F60" s="34"/>
      <c r="H60" s="34"/>
      <c r="J60" s="34"/>
      <c r="L60" s="34"/>
      <c r="N60" s="34"/>
      <c r="P60" s="34"/>
    </row>
    <row r="61" ht="15.75" customHeight="1">
      <c r="D61" s="34"/>
      <c r="F61" s="34"/>
    </row>
    <row r="62" ht="15.75" customHeight="1">
      <c r="D62" s="34"/>
      <c r="F62" s="34"/>
    </row>
    <row r="63" ht="15.75" customHeight="1">
      <c r="D63" s="34"/>
      <c r="F63" s="34"/>
    </row>
    <row r="64" ht="15.75" customHeight="1">
      <c r="D64" s="34"/>
      <c r="F64" s="34"/>
    </row>
    <row r="65" ht="15.75" customHeight="1">
      <c r="D65" s="34"/>
      <c r="F65" s="34"/>
    </row>
    <row r="66" ht="15.75" customHeight="1">
      <c r="D66" s="34"/>
      <c r="F66" s="34"/>
    </row>
    <row r="67" ht="15.75" customHeight="1">
      <c r="D67" s="34"/>
      <c r="F67" s="34"/>
    </row>
    <row r="68" ht="15.75" customHeight="1">
      <c r="D68" s="34"/>
      <c r="F68" s="34"/>
    </row>
    <row r="69" ht="15.75" customHeight="1">
      <c r="D69" s="34"/>
      <c r="F69" s="34"/>
    </row>
    <row r="70" ht="15.75" customHeight="1">
      <c r="D70" s="34"/>
      <c r="F70" s="34"/>
    </row>
    <row r="71" ht="15.75" customHeight="1">
      <c r="D71" s="34"/>
      <c r="F71" s="34"/>
    </row>
    <row r="72" ht="15.75" customHeight="1">
      <c r="D72" s="34"/>
      <c r="F72" s="34"/>
    </row>
    <row r="73" ht="15.75" customHeight="1">
      <c r="D73" s="34"/>
      <c r="F73" s="34"/>
    </row>
    <row r="74" ht="15.75" customHeight="1">
      <c r="D74" s="34"/>
      <c r="F74" s="34"/>
    </row>
    <row r="75" ht="15.75" customHeight="1">
      <c r="D75" s="34"/>
      <c r="F75" s="34"/>
    </row>
    <row r="76" ht="15.75" customHeight="1">
      <c r="D76" s="34"/>
      <c r="F76" s="34"/>
    </row>
    <row r="77" ht="15.75" customHeight="1">
      <c r="D77" s="34"/>
      <c r="F77" s="34"/>
    </row>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5">
    <mergeCell ref="M6:N6"/>
    <mergeCell ref="O6:P6"/>
    <mergeCell ref="A4:A7"/>
    <mergeCell ref="B4:P4"/>
    <mergeCell ref="B5:B7"/>
    <mergeCell ref="C5:P5"/>
    <mergeCell ref="C6:D6"/>
    <mergeCell ref="E6:F6"/>
    <mergeCell ref="G6:H6"/>
    <mergeCell ref="E31:F31"/>
    <mergeCell ref="G31:H31"/>
    <mergeCell ref="G53:H53"/>
    <mergeCell ref="A58:P58"/>
    <mergeCell ref="A59:P59"/>
    <mergeCell ref="I31:J31"/>
    <mergeCell ref="K31:L31"/>
    <mergeCell ref="M31:N31"/>
    <mergeCell ref="O31:P31"/>
    <mergeCell ref="I6:J6"/>
    <mergeCell ref="K6:L6"/>
    <mergeCell ref="A29:A32"/>
    <mergeCell ref="B29:P29"/>
    <mergeCell ref="B30:B32"/>
    <mergeCell ref="C30:P30"/>
    <mergeCell ref="C31:D31"/>
  </mergeCells>
  <hyperlinks>
    <hyperlink display="BACK TO LIST" location="LIST!A1" ref="A1"/>
  </hyperlinks>
  <printOptions/>
  <pageMargins bottom="0.75" footer="0.0" header="0.0" left="0.7" right="0.7" top="0.75"/>
  <pageSetup paperSize="9" orientation="portrait"/>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9"/>
    <pageSetUpPr/>
  </sheetPr>
  <sheetViews>
    <sheetView workbookViewId="0"/>
  </sheetViews>
  <sheetFormatPr customHeight="1" defaultColWidth="12.63" defaultRowHeight="15.0"/>
  <cols>
    <col customWidth="1" min="1" max="1" width="39.0"/>
    <col customWidth="1" min="2" max="10" width="14.25"/>
    <col customWidth="1" min="11" max="19" width="14.0"/>
    <col customWidth="1" min="20" max="26" width="8.63"/>
  </cols>
  <sheetData>
    <row r="1">
      <c r="A1" s="5" t="s">
        <v>1</v>
      </c>
      <c r="B1" s="5"/>
      <c r="C1" s="5"/>
      <c r="D1" s="5"/>
      <c r="E1" s="5"/>
      <c r="F1" s="5"/>
      <c r="G1" s="5"/>
      <c r="H1" s="5"/>
      <c r="I1" s="5"/>
      <c r="J1" s="5"/>
    </row>
    <row r="2" ht="15.0" customHeight="1">
      <c r="A2" s="6" t="s">
        <v>271</v>
      </c>
      <c r="B2" s="6"/>
      <c r="C2" s="6"/>
      <c r="D2" s="6"/>
      <c r="E2" s="6"/>
      <c r="F2" s="6"/>
      <c r="G2" s="6"/>
      <c r="H2" s="6"/>
      <c r="I2" s="6"/>
      <c r="J2" s="6"/>
      <c r="K2" s="6"/>
      <c r="L2" s="6"/>
      <c r="M2" s="6"/>
      <c r="N2" s="53"/>
      <c r="O2" s="53"/>
    </row>
    <row r="3">
      <c r="A3" s="8"/>
      <c r="B3" s="8"/>
      <c r="C3" s="8"/>
      <c r="D3" s="8"/>
      <c r="E3" s="8"/>
      <c r="F3" s="8"/>
      <c r="G3" s="8"/>
      <c r="H3" s="8"/>
      <c r="I3" s="8"/>
      <c r="J3" s="8"/>
      <c r="K3" s="9"/>
      <c r="L3" s="9"/>
      <c r="M3" s="9"/>
      <c r="N3" s="9"/>
      <c r="O3" s="9"/>
      <c r="P3" s="9"/>
      <c r="Q3" s="9"/>
      <c r="R3" s="9"/>
      <c r="S3" s="9"/>
    </row>
    <row r="4">
      <c r="A4" s="10" t="s">
        <v>13</v>
      </c>
      <c r="B4" s="12">
        <v>2019.0</v>
      </c>
      <c r="C4" s="14"/>
      <c r="D4" s="14"/>
      <c r="E4" s="14"/>
      <c r="F4" s="14"/>
      <c r="G4" s="14"/>
      <c r="H4" s="14"/>
      <c r="I4" s="14"/>
      <c r="J4" s="15"/>
      <c r="K4" s="12">
        <v>2024.0</v>
      </c>
      <c r="L4" s="14"/>
      <c r="M4" s="14"/>
      <c r="N4" s="14"/>
      <c r="O4" s="14"/>
      <c r="P4" s="14"/>
      <c r="Q4" s="14"/>
      <c r="R4" s="14"/>
      <c r="S4" s="15"/>
    </row>
    <row r="5">
      <c r="A5" s="17"/>
      <c r="B5" s="21" t="s">
        <v>256</v>
      </c>
      <c r="C5" s="42" t="s">
        <v>274</v>
      </c>
      <c r="D5" s="14"/>
      <c r="E5" s="14"/>
      <c r="F5" s="14"/>
      <c r="G5" s="14"/>
      <c r="H5" s="14"/>
      <c r="I5" s="14"/>
      <c r="J5" s="15"/>
      <c r="K5" s="21" t="s">
        <v>256</v>
      </c>
      <c r="L5" s="42" t="s">
        <v>274</v>
      </c>
      <c r="M5" s="14"/>
      <c r="N5" s="14"/>
      <c r="O5" s="14"/>
      <c r="P5" s="14"/>
      <c r="Q5" s="14"/>
      <c r="R5" s="14"/>
      <c r="S5" s="15"/>
    </row>
    <row r="6" ht="30.0" customHeight="1">
      <c r="A6" s="17"/>
      <c r="B6" s="17"/>
      <c r="C6" s="13" t="s">
        <v>275</v>
      </c>
      <c r="D6" s="15"/>
      <c r="E6" s="13" t="s">
        <v>276</v>
      </c>
      <c r="F6" s="15"/>
      <c r="G6" s="13" t="s">
        <v>277</v>
      </c>
      <c r="H6" s="15"/>
      <c r="I6" s="13" t="s">
        <v>278</v>
      </c>
      <c r="J6" s="15"/>
      <c r="K6" s="17"/>
      <c r="L6" s="13" t="s">
        <v>275</v>
      </c>
      <c r="M6" s="15"/>
      <c r="N6" s="13" t="s">
        <v>276</v>
      </c>
      <c r="O6" s="15"/>
      <c r="P6" s="13" t="s">
        <v>277</v>
      </c>
      <c r="Q6" s="15"/>
      <c r="R6" s="13" t="s">
        <v>278</v>
      </c>
      <c r="S6" s="15"/>
    </row>
    <row r="7">
      <c r="A7" s="18"/>
      <c r="B7" s="18"/>
      <c r="C7" s="24" t="s">
        <v>37</v>
      </c>
      <c r="D7" s="24" t="s">
        <v>39</v>
      </c>
      <c r="E7" s="24" t="s">
        <v>37</v>
      </c>
      <c r="F7" s="24" t="s">
        <v>39</v>
      </c>
      <c r="G7" s="24" t="s">
        <v>37</v>
      </c>
      <c r="H7" s="24" t="s">
        <v>39</v>
      </c>
      <c r="I7" s="24" t="s">
        <v>37</v>
      </c>
      <c r="J7" s="24" t="s">
        <v>39</v>
      </c>
      <c r="K7" s="18"/>
      <c r="L7" s="24" t="s">
        <v>37</v>
      </c>
      <c r="M7" s="24" t="s">
        <v>39</v>
      </c>
      <c r="N7" s="24" t="s">
        <v>37</v>
      </c>
      <c r="O7" s="24" t="s">
        <v>39</v>
      </c>
      <c r="P7" s="24" t="s">
        <v>37</v>
      </c>
      <c r="Q7" s="24" t="s">
        <v>39</v>
      </c>
      <c r="R7" s="24" t="s">
        <v>37</v>
      </c>
      <c r="S7" s="24" t="s">
        <v>39</v>
      </c>
    </row>
    <row r="8">
      <c r="A8" s="16"/>
      <c r="B8" s="16"/>
      <c r="C8" s="16"/>
      <c r="D8" s="16"/>
      <c r="E8" s="16"/>
      <c r="F8" s="16"/>
      <c r="G8" s="16"/>
      <c r="H8" s="16"/>
      <c r="I8" s="16"/>
      <c r="J8" s="16"/>
      <c r="K8" s="20"/>
      <c r="L8" s="20"/>
      <c r="M8" s="20"/>
      <c r="N8" s="20"/>
      <c r="O8" s="20"/>
      <c r="P8" s="20"/>
      <c r="Q8" s="20"/>
      <c r="R8" s="20"/>
      <c r="S8" s="20"/>
    </row>
    <row r="9">
      <c r="A9" s="22" t="s">
        <v>33</v>
      </c>
      <c r="B9" s="23">
        <f>'i_C21&amp;23'!C9</f>
        <v>21118015.23</v>
      </c>
      <c r="C9" s="23">
        <v>1.1799971000354003E7</v>
      </c>
      <c r="D9" s="27">
        <f t="shared" ref="D9:D26" si="1">(C9/$B9)*100</f>
        <v>55.87632584</v>
      </c>
      <c r="E9" s="23">
        <v>5400799.810993001</v>
      </c>
      <c r="F9" s="27">
        <f t="shared" ref="F9:F26" si="2">(E9/$B9)*100</f>
        <v>25.57437218</v>
      </c>
      <c r="G9" s="23">
        <v>483663.50728600007</v>
      </c>
      <c r="H9" s="27">
        <f t="shared" ref="H9:H26" si="3">(G9/$B9)*100</f>
        <v>2.290288657</v>
      </c>
      <c r="I9" s="23">
        <v>3433580.9091590005</v>
      </c>
      <c r="J9" s="27">
        <f t="shared" ref="J9:J26" si="4">(I9/$B9)*100</f>
        <v>16.25901332</v>
      </c>
      <c r="K9" s="23">
        <v>6.1457081E7</v>
      </c>
      <c r="L9" s="23">
        <v>4.7244508E7</v>
      </c>
      <c r="M9" s="27">
        <f t="shared" ref="M9:M26" si="5">(L9/$K9)*100</f>
        <v>76.87398625</v>
      </c>
      <c r="N9" s="23">
        <v>1.0064889E7</v>
      </c>
      <c r="O9" s="27">
        <f t="shared" ref="O9:O26" si="6">(N9/$K9)*100</f>
        <v>16.37710226</v>
      </c>
      <c r="P9" s="23">
        <v>612285.0</v>
      </c>
      <c r="Q9" s="27">
        <f t="shared" ref="Q9:Q26" si="7">(P9/$K9)*100</f>
        <v>0.9962806401</v>
      </c>
      <c r="R9" s="23">
        <v>3535398.0</v>
      </c>
      <c r="S9" s="27">
        <f t="shared" ref="S9:S26" si="8">(R9/$K9)*100</f>
        <v>5.752629221</v>
      </c>
    </row>
    <row r="10">
      <c r="A10" s="25" t="s">
        <v>38</v>
      </c>
      <c r="B10" s="26">
        <f>'i_C21&amp;23'!C10</f>
        <v>4434947.683</v>
      </c>
      <c r="C10" s="26">
        <v>3092485.5613650116</v>
      </c>
      <c r="D10" s="31">
        <f t="shared" si="1"/>
        <v>69.72992202</v>
      </c>
      <c r="E10" s="26">
        <v>839110.314415</v>
      </c>
      <c r="F10" s="31">
        <f t="shared" si="2"/>
        <v>18.92041066</v>
      </c>
      <c r="G10" s="26">
        <v>70341.90511000002</v>
      </c>
      <c r="H10" s="31">
        <f t="shared" si="3"/>
        <v>1.586081959</v>
      </c>
      <c r="I10" s="26">
        <v>433009.90239000035</v>
      </c>
      <c r="J10" s="31">
        <f t="shared" si="4"/>
        <v>9.763585352</v>
      </c>
      <c r="K10" s="26">
        <v>9448296.0</v>
      </c>
      <c r="L10" s="26">
        <v>8598204.0</v>
      </c>
      <c r="M10" s="31">
        <f t="shared" si="5"/>
        <v>91.00269509</v>
      </c>
      <c r="N10" s="26">
        <v>537657.0</v>
      </c>
      <c r="O10" s="31">
        <f t="shared" si="6"/>
        <v>5.690518163</v>
      </c>
      <c r="P10" s="26">
        <v>30069.0</v>
      </c>
      <c r="Q10" s="31">
        <f t="shared" si="7"/>
        <v>0.3182478618</v>
      </c>
      <c r="R10" s="26">
        <v>282365.0</v>
      </c>
      <c r="S10" s="31">
        <f t="shared" si="8"/>
        <v>2.988528302</v>
      </c>
    </row>
    <row r="11">
      <c r="A11" s="25" t="s">
        <v>41</v>
      </c>
      <c r="B11" s="26">
        <f>'i_C21&amp;23'!C11</f>
        <v>322391.1926</v>
      </c>
      <c r="C11" s="26">
        <v>178879.80981699997</v>
      </c>
      <c r="D11" s="31">
        <f t="shared" si="1"/>
        <v>55.48532774</v>
      </c>
      <c r="E11" s="26">
        <v>77849.00752000006</v>
      </c>
      <c r="F11" s="31">
        <f t="shared" si="2"/>
        <v>24.14737415</v>
      </c>
      <c r="G11" s="26">
        <v>12378.928743</v>
      </c>
      <c r="H11" s="31">
        <f t="shared" si="3"/>
        <v>3.839722991</v>
      </c>
      <c r="I11" s="26">
        <v>53283.44653699998</v>
      </c>
      <c r="J11" s="31">
        <f t="shared" si="4"/>
        <v>16.52757512</v>
      </c>
      <c r="K11" s="26">
        <v>1074349.0</v>
      </c>
      <c r="L11" s="26">
        <v>773775.0</v>
      </c>
      <c r="M11" s="31">
        <f t="shared" si="5"/>
        <v>72.02268537</v>
      </c>
      <c r="N11" s="26">
        <v>210970.0</v>
      </c>
      <c r="O11" s="31">
        <f t="shared" si="6"/>
        <v>19.63700809</v>
      </c>
      <c r="P11" s="26">
        <v>11897.0</v>
      </c>
      <c r="Q11" s="31">
        <f t="shared" si="7"/>
        <v>1.107368276</v>
      </c>
      <c r="R11" s="26">
        <v>77708.0</v>
      </c>
      <c r="S11" s="31">
        <f t="shared" si="8"/>
        <v>7.233031352</v>
      </c>
    </row>
    <row r="12">
      <c r="A12" s="25" t="s">
        <v>43</v>
      </c>
      <c r="B12" s="26">
        <f>'i_C21&amp;23'!C12</f>
        <v>1269147.599</v>
      </c>
      <c r="C12" s="26">
        <v>796818.2950799993</v>
      </c>
      <c r="D12" s="31">
        <f t="shared" si="1"/>
        <v>62.78373733</v>
      </c>
      <c r="E12" s="26">
        <v>443613.25300999987</v>
      </c>
      <c r="F12" s="31">
        <f t="shared" si="2"/>
        <v>34.95363764</v>
      </c>
      <c r="G12" s="26">
        <v>12907.72316</v>
      </c>
      <c r="H12" s="31">
        <f t="shared" si="3"/>
        <v>1.017038772</v>
      </c>
      <c r="I12" s="26">
        <v>15808.3281</v>
      </c>
      <c r="J12" s="31">
        <f t="shared" si="4"/>
        <v>1.245586259</v>
      </c>
      <c r="K12" s="26">
        <v>3260630.0</v>
      </c>
      <c r="L12" s="26">
        <v>2567140.0</v>
      </c>
      <c r="M12" s="31">
        <f t="shared" si="5"/>
        <v>78.7314108</v>
      </c>
      <c r="N12" s="26">
        <v>680854.0</v>
      </c>
      <c r="O12" s="31">
        <f t="shared" si="6"/>
        <v>20.88105673</v>
      </c>
      <c r="P12" s="26">
        <v>2000.0</v>
      </c>
      <c r="Q12" s="31">
        <f t="shared" si="7"/>
        <v>0.06133783962</v>
      </c>
      <c r="R12" s="26">
        <v>10636.0</v>
      </c>
      <c r="S12" s="31">
        <f t="shared" si="8"/>
        <v>0.3261946311</v>
      </c>
    </row>
    <row r="13">
      <c r="A13" s="25" t="s">
        <v>44</v>
      </c>
      <c r="B13" s="26">
        <f>'i_C21&amp;23'!C13</f>
        <v>608713.3621</v>
      </c>
      <c r="C13" s="26">
        <v>227025.860594</v>
      </c>
      <c r="D13" s="31">
        <f t="shared" si="1"/>
        <v>37.29602054</v>
      </c>
      <c r="E13" s="26">
        <v>121346.14047600006</v>
      </c>
      <c r="F13" s="31">
        <f t="shared" si="2"/>
        <v>19.93485736</v>
      </c>
      <c r="G13" s="26">
        <v>3303.4437269999994</v>
      </c>
      <c r="H13" s="31">
        <f t="shared" si="3"/>
        <v>0.5426928227</v>
      </c>
      <c r="I13" s="26">
        <v>257037.9173419999</v>
      </c>
      <c r="J13" s="31">
        <f t="shared" si="4"/>
        <v>42.22642927</v>
      </c>
      <c r="K13" s="26">
        <v>2290016.0</v>
      </c>
      <c r="L13" s="26">
        <v>1702564.0</v>
      </c>
      <c r="M13" s="31">
        <f t="shared" si="5"/>
        <v>74.34725347</v>
      </c>
      <c r="N13" s="26">
        <v>466299.0</v>
      </c>
      <c r="O13" s="31">
        <f t="shared" si="6"/>
        <v>20.36225948</v>
      </c>
      <c r="P13" s="26">
        <v>54132.0</v>
      </c>
      <c r="Q13" s="31">
        <f t="shared" si="7"/>
        <v>2.363826279</v>
      </c>
      <c r="R13" s="26">
        <v>67020.0</v>
      </c>
      <c r="S13" s="31">
        <f t="shared" si="8"/>
        <v>2.926617107</v>
      </c>
    </row>
    <row r="14">
      <c r="A14" s="25" t="s">
        <v>46</v>
      </c>
      <c r="B14" s="26">
        <f>'i_C21&amp;23'!C14</f>
        <v>3210821.053</v>
      </c>
      <c r="C14" s="26">
        <v>1954920.6158800009</v>
      </c>
      <c r="D14" s="31">
        <f t="shared" si="1"/>
        <v>60.88538052</v>
      </c>
      <c r="E14" s="26">
        <v>943050.8523400003</v>
      </c>
      <c r="F14" s="31">
        <f t="shared" si="2"/>
        <v>29.37101872</v>
      </c>
      <c r="G14" s="26">
        <v>21204.939700000003</v>
      </c>
      <c r="H14" s="31">
        <f t="shared" si="3"/>
        <v>0.6604210995</v>
      </c>
      <c r="I14" s="26">
        <v>291644.64485000016</v>
      </c>
      <c r="J14" s="31">
        <f t="shared" si="4"/>
        <v>9.083179662</v>
      </c>
      <c r="K14" s="26">
        <v>7926396.0</v>
      </c>
      <c r="L14" s="26">
        <v>6305933.0</v>
      </c>
      <c r="M14" s="31">
        <f t="shared" si="5"/>
        <v>79.55611857</v>
      </c>
      <c r="N14" s="26">
        <v>1023354.0</v>
      </c>
      <c r="O14" s="31">
        <f t="shared" si="6"/>
        <v>12.91070999</v>
      </c>
      <c r="P14" s="26">
        <v>111940.0</v>
      </c>
      <c r="Q14" s="31">
        <f t="shared" si="7"/>
        <v>1.412243345</v>
      </c>
      <c r="R14" s="26">
        <v>485170.0</v>
      </c>
      <c r="S14" s="31">
        <f t="shared" si="8"/>
        <v>6.120940715</v>
      </c>
    </row>
    <row r="15">
      <c r="A15" s="25" t="s">
        <v>48</v>
      </c>
      <c r="B15" s="26">
        <f>'i_C21&amp;23'!C15</f>
        <v>4117581.288</v>
      </c>
      <c r="C15" s="26">
        <v>2540449.1472899946</v>
      </c>
      <c r="D15" s="31">
        <f t="shared" si="1"/>
        <v>61.69760764</v>
      </c>
      <c r="E15" s="26">
        <v>502738.1919899996</v>
      </c>
      <c r="F15" s="31">
        <f t="shared" si="2"/>
        <v>12.20955111</v>
      </c>
      <c r="G15" s="26">
        <v>19000.744399999996</v>
      </c>
      <c r="H15" s="31">
        <f t="shared" si="3"/>
        <v>0.4614540205</v>
      </c>
      <c r="I15" s="26">
        <v>1055393.2044299992</v>
      </c>
      <c r="J15" s="31">
        <f t="shared" si="4"/>
        <v>25.63138723</v>
      </c>
      <c r="K15" s="26">
        <v>9979157.0</v>
      </c>
      <c r="L15" s="26">
        <v>7838006.0</v>
      </c>
      <c r="M15" s="31">
        <f t="shared" si="5"/>
        <v>78.54376878</v>
      </c>
      <c r="N15" s="26">
        <v>1313264.0</v>
      </c>
      <c r="O15" s="31">
        <f t="shared" si="6"/>
        <v>13.16006953</v>
      </c>
      <c r="P15" s="26">
        <v>43041.0</v>
      </c>
      <c r="Q15" s="31">
        <f t="shared" si="7"/>
        <v>0.4313089773</v>
      </c>
      <c r="R15" s="26">
        <v>784846.0</v>
      </c>
      <c r="S15" s="31">
        <f t="shared" si="8"/>
        <v>7.864852713</v>
      </c>
    </row>
    <row r="16">
      <c r="A16" s="25" t="s">
        <v>50</v>
      </c>
      <c r="B16" s="26">
        <f>'i_C21&amp;23'!C16</f>
        <v>437023.2581</v>
      </c>
      <c r="C16" s="26">
        <v>229632.71411000006</v>
      </c>
      <c r="D16" s="31">
        <f t="shared" si="1"/>
        <v>52.54473528</v>
      </c>
      <c r="E16" s="26">
        <v>96614.97208000005</v>
      </c>
      <c r="F16" s="31">
        <f t="shared" si="2"/>
        <v>22.10751265</v>
      </c>
      <c r="G16" s="26">
        <v>20582.455710000002</v>
      </c>
      <c r="H16" s="31">
        <f t="shared" si="3"/>
        <v>4.709693438</v>
      </c>
      <c r="I16" s="26">
        <v>90193.1162300001</v>
      </c>
      <c r="J16" s="31">
        <f t="shared" si="4"/>
        <v>20.63805863</v>
      </c>
      <c r="K16" s="26">
        <v>1614249.0</v>
      </c>
      <c r="L16" s="26">
        <v>1072207.0</v>
      </c>
      <c r="M16" s="31">
        <f t="shared" si="5"/>
        <v>66.4214133</v>
      </c>
      <c r="N16" s="26">
        <v>449175.0</v>
      </c>
      <c r="O16" s="31">
        <f t="shared" si="6"/>
        <v>27.82563285</v>
      </c>
      <c r="P16" s="26">
        <v>17492.0</v>
      </c>
      <c r="Q16" s="31">
        <f t="shared" si="7"/>
        <v>1.083599866</v>
      </c>
      <c r="R16" s="26">
        <v>75374.0</v>
      </c>
      <c r="S16" s="31">
        <f t="shared" si="8"/>
        <v>4.669292036</v>
      </c>
    </row>
    <row r="17">
      <c r="A17" s="25" t="s">
        <v>51</v>
      </c>
      <c r="B17" s="26">
        <f>'i_C21&amp;23'!C17</f>
        <v>795978.5354</v>
      </c>
      <c r="C17" s="26">
        <v>359417.76933999994</v>
      </c>
      <c r="D17" s="31">
        <f t="shared" si="1"/>
        <v>45.1542037</v>
      </c>
      <c r="E17" s="26">
        <v>111153.85148000003</v>
      </c>
      <c r="F17" s="31">
        <f t="shared" si="2"/>
        <v>13.96442825</v>
      </c>
      <c r="G17" s="26">
        <v>9339.71199</v>
      </c>
      <c r="H17" s="31">
        <f t="shared" si="3"/>
        <v>1.173362292</v>
      </c>
      <c r="I17" s="26">
        <v>316067.20263</v>
      </c>
      <c r="J17" s="31">
        <f t="shared" si="4"/>
        <v>39.70800575</v>
      </c>
      <c r="K17" s="26">
        <v>3094742.0</v>
      </c>
      <c r="L17" s="26">
        <v>2086984.0</v>
      </c>
      <c r="M17" s="31">
        <f t="shared" si="5"/>
        <v>67.43644543</v>
      </c>
      <c r="N17" s="26">
        <v>729544.0</v>
      </c>
      <c r="O17" s="31">
        <f t="shared" si="6"/>
        <v>23.57366139</v>
      </c>
      <c r="P17" s="26">
        <v>45397.0</v>
      </c>
      <c r="Q17" s="31">
        <f t="shared" si="7"/>
        <v>1.466907419</v>
      </c>
      <c r="R17" s="26">
        <v>232817.0</v>
      </c>
      <c r="S17" s="31">
        <f t="shared" si="8"/>
        <v>7.522985761</v>
      </c>
    </row>
    <row r="18">
      <c r="A18" s="25" t="s">
        <v>53</v>
      </c>
      <c r="B18" s="26">
        <f>'i_C21&amp;23'!C18</f>
        <v>1148816.024</v>
      </c>
      <c r="C18" s="26">
        <v>555140.89373</v>
      </c>
      <c r="D18" s="31">
        <f t="shared" si="1"/>
        <v>48.32287172</v>
      </c>
      <c r="E18" s="26">
        <v>399396.81901999965</v>
      </c>
      <c r="F18" s="31">
        <f t="shared" si="2"/>
        <v>34.76595126</v>
      </c>
      <c r="G18" s="26">
        <v>16861.02451</v>
      </c>
      <c r="H18" s="31">
        <f t="shared" si="3"/>
        <v>1.467687093</v>
      </c>
      <c r="I18" s="26">
        <v>177417.28704000002</v>
      </c>
      <c r="J18" s="31">
        <f t="shared" si="4"/>
        <v>15.44348993</v>
      </c>
      <c r="K18" s="26">
        <v>4053706.0</v>
      </c>
      <c r="L18" s="26">
        <v>3088204.0</v>
      </c>
      <c r="M18" s="31">
        <f t="shared" si="5"/>
        <v>76.18223917</v>
      </c>
      <c r="N18" s="26">
        <v>727075.0</v>
      </c>
      <c r="O18" s="31">
        <f t="shared" si="6"/>
        <v>17.93605654</v>
      </c>
      <c r="P18" s="26">
        <v>28152.0</v>
      </c>
      <c r="Q18" s="31">
        <f t="shared" si="7"/>
        <v>0.694475623</v>
      </c>
      <c r="R18" s="26">
        <v>210276.0</v>
      </c>
      <c r="S18" s="31">
        <f t="shared" si="8"/>
        <v>5.187253343</v>
      </c>
    </row>
    <row r="19">
      <c r="A19" s="25" t="s">
        <v>54</v>
      </c>
      <c r="B19" s="26">
        <f>'i_C21&amp;23'!C19</f>
        <v>847079.1794</v>
      </c>
      <c r="C19" s="26">
        <v>445568.2223999996</v>
      </c>
      <c r="D19" s="31">
        <f t="shared" si="1"/>
        <v>52.60053998</v>
      </c>
      <c r="E19" s="26">
        <v>261323.99788</v>
      </c>
      <c r="F19" s="31">
        <f t="shared" si="2"/>
        <v>30.85000839</v>
      </c>
      <c r="G19" s="26">
        <v>22361.95043</v>
      </c>
      <c r="H19" s="31">
        <f t="shared" si="3"/>
        <v>2.639889042</v>
      </c>
      <c r="I19" s="26">
        <v>117825.00865000003</v>
      </c>
      <c r="J19" s="31">
        <f t="shared" si="4"/>
        <v>13.90956259</v>
      </c>
      <c r="K19" s="26">
        <v>4522717.0</v>
      </c>
      <c r="L19" s="26">
        <v>3533008.0</v>
      </c>
      <c r="M19" s="31">
        <f t="shared" si="5"/>
        <v>78.11693723</v>
      </c>
      <c r="N19" s="26">
        <v>770565.0</v>
      </c>
      <c r="O19" s="31">
        <f t="shared" si="6"/>
        <v>17.03765679</v>
      </c>
      <c r="P19" s="26">
        <v>37778.0</v>
      </c>
      <c r="Q19" s="31">
        <f t="shared" si="7"/>
        <v>0.8352943596</v>
      </c>
      <c r="R19" s="26">
        <v>181366.0</v>
      </c>
      <c r="S19" s="31">
        <f t="shared" si="8"/>
        <v>4.010111621</v>
      </c>
    </row>
    <row r="20">
      <c r="A20" s="25" t="s">
        <v>56</v>
      </c>
      <c r="B20" s="26">
        <f>'i_C21&amp;23'!C20</f>
        <v>1032784.675</v>
      </c>
      <c r="C20" s="26">
        <v>325305.20234799996</v>
      </c>
      <c r="D20" s="31">
        <f t="shared" si="1"/>
        <v>31.49787271</v>
      </c>
      <c r="E20" s="26">
        <v>489733.9233360001</v>
      </c>
      <c r="F20" s="31">
        <f t="shared" si="2"/>
        <v>47.41878293</v>
      </c>
      <c r="G20" s="26">
        <v>79960.426266</v>
      </c>
      <c r="H20" s="31">
        <f t="shared" si="3"/>
        <v>7.742216571</v>
      </c>
      <c r="I20" s="26">
        <v>137785.1233000001</v>
      </c>
      <c r="J20" s="31">
        <f t="shared" si="4"/>
        <v>13.34112779</v>
      </c>
      <c r="K20" s="26">
        <v>2570726.0</v>
      </c>
      <c r="L20" s="26">
        <v>1909975.0</v>
      </c>
      <c r="M20" s="31">
        <f t="shared" si="5"/>
        <v>74.29710518</v>
      </c>
      <c r="N20" s="26">
        <v>540423.0</v>
      </c>
      <c r="O20" s="31">
        <f t="shared" si="6"/>
        <v>21.02219373</v>
      </c>
      <c r="P20" s="26">
        <v>35118.0</v>
      </c>
      <c r="Q20" s="31">
        <f t="shared" si="7"/>
        <v>1.366073242</v>
      </c>
      <c r="R20" s="26">
        <v>85210.0</v>
      </c>
      <c r="S20" s="31">
        <f t="shared" si="8"/>
        <v>3.314627852</v>
      </c>
    </row>
    <row r="21" ht="15.75" customHeight="1">
      <c r="A21" s="25" t="s">
        <v>57</v>
      </c>
      <c r="B21" s="26">
        <f>'i_C21&amp;23'!C21</f>
        <v>468435.5389</v>
      </c>
      <c r="C21" s="26">
        <v>135401.42564</v>
      </c>
      <c r="D21" s="31">
        <f t="shared" si="1"/>
        <v>28.90502842</v>
      </c>
      <c r="E21" s="26">
        <v>198266.28420999998</v>
      </c>
      <c r="F21" s="31">
        <f t="shared" si="2"/>
        <v>42.32520117</v>
      </c>
      <c r="G21" s="26">
        <v>21660.44303</v>
      </c>
      <c r="H21" s="31">
        <f t="shared" si="3"/>
        <v>4.623996523</v>
      </c>
      <c r="I21" s="26">
        <v>113107.38602000002</v>
      </c>
      <c r="J21" s="31">
        <f t="shared" si="4"/>
        <v>24.14577389</v>
      </c>
      <c r="K21" s="26">
        <v>1519753.0</v>
      </c>
      <c r="L21" s="26">
        <v>857302.0</v>
      </c>
      <c r="M21" s="31">
        <f t="shared" si="5"/>
        <v>56.41061409</v>
      </c>
      <c r="N21" s="26">
        <v>340400.0</v>
      </c>
      <c r="O21" s="31">
        <f t="shared" si="6"/>
        <v>22.39837658</v>
      </c>
      <c r="P21" s="26">
        <v>104830.0</v>
      </c>
      <c r="Q21" s="31">
        <f t="shared" si="7"/>
        <v>6.897831424</v>
      </c>
      <c r="R21" s="26">
        <v>217221.0</v>
      </c>
      <c r="S21" s="31">
        <f t="shared" si="8"/>
        <v>14.2931779</v>
      </c>
    </row>
    <row r="22" ht="15.75" customHeight="1">
      <c r="A22" s="25" t="s">
        <v>59</v>
      </c>
      <c r="B22" s="26">
        <f>'i_C21&amp;23'!C22</f>
        <v>436933.2556</v>
      </c>
      <c r="C22" s="26">
        <v>91988.57841000006</v>
      </c>
      <c r="D22" s="31">
        <f t="shared" si="1"/>
        <v>21.05323347</v>
      </c>
      <c r="E22" s="26">
        <v>275778.38833000016</v>
      </c>
      <c r="F22" s="31">
        <f t="shared" si="2"/>
        <v>63.11682272</v>
      </c>
      <c r="G22" s="26">
        <v>32046.47297</v>
      </c>
      <c r="H22" s="31">
        <f t="shared" si="3"/>
        <v>7.334409217</v>
      </c>
      <c r="I22" s="26">
        <v>37119.81588</v>
      </c>
      <c r="J22" s="31">
        <f t="shared" si="4"/>
        <v>8.495534594</v>
      </c>
      <c r="K22" s="26">
        <v>2562942.0</v>
      </c>
      <c r="L22" s="26">
        <v>1699164.0</v>
      </c>
      <c r="M22" s="31">
        <f t="shared" si="5"/>
        <v>66.29740353</v>
      </c>
      <c r="N22" s="26">
        <v>623917.0</v>
      </c>
      <c r="O22" s="31">
        <f t="shared" si="6"/>
        <v>24.34378148</v>
      </c>
      <c r="P22" s="26">
        <v>19280.0</v>
      </c>
      <c r="Q22" s="31">
        <f t="shared" si="7"/>
        <v>0.7522604881</v>
      </c>
      <c r="R22" s="26">
        <v>220580.0</v>
      </c>
      <c r="S22" s="31">
        <f t="shared" si="8"/>
        <v>8.606515481</v>
      </c>
    </row>
    <row r="23" ht="15.75" customHeight="1">
      <c r="A23" s="25" t="s">
        <v>60</v>
      </c>
      <c r="B23" s="26">
        <f>'i_C21&amp;23'!C23</f>
        <v>696681.6875</v>
      </c>
      <c r="C23" s="26">
        <v>321924.1129900001</v>
      </c>
      <c r="D23" s="31">
        <f t="shared" si="1"/>
        <v>46.20820653</v>
      </c>
      <c r="E23" s="26">
        <v>225960.40744000007</v>
      </c>
      <c r="F23" s="31">
        <f t="shared" si="2"/>
        <v>32.43380894</v>
      </c>
      <c r="G23" s="26">
        <v>35321.83873</v>
      </c>
      <c r="H23" s="31">
        <f t="shared" si="3"/>
        <v>5.070011078</v>
      </c>
      <c r="I23" s="26">
        <v>113475.32831</v>
      </c>
      <c r="J23" s="31">
        <f t="shared" si="4"/>
        <v>16.28797345</v>
      </c>
      <c r="K23" s="26">
        <v>2373668.0</v>
      </c>
      <c r="L23" s="26">
        <v>1786289.0</v>
      </c>
      <c r="M23" s="31">
        <f t="shared" si="5"/>
        <v>75.25437424</v>
      </c>
      <c r="N23" s="26">
        <v>430581.0</v>
      </c>
      <c r="O23" s="31">
        <f t="shared" si="6"/>
        <v>18.13989994</v>
      </c>
      <c r="P23" s="26">
        <v>13450.0</v>
      </c>
      <c r="Q23" s="31">
        <f t="shared" si="7"/>
        <v>0.5666335814</v>
      </c>
      <c r="R23" s="26">
        <v>143347.0</v>
      </c>
      <c r="S23" s="31">
        <f t="shared" si="8"/>
        <v>6.039050111</v>
      </c>
    </row>
    <row r="24" ht="15.75" customHeight="1">
      <c r="A24" s="25" t="s">
        <v>63</v>
      </c>
      <c r="B24" s="26">
        <f>'i_C21&amp;23'!C24</f>
        <v>924109.8131</v>
      </c>
      <c r="C24" s="26">
        <v>393841.5087600002</v>
      </c>
      <c r="D24" s="31">
        <f t="shared" si="1"/>
        <v>42.6184749</v>
      </c>
      <c r="E24" s="26">
        <v>257560.93866999997</v>
      </c>
      <c r="F24" s="31">
        <f t="shared" si="2"/>
        <v>27.87124809</v>
      </c>
      <c r="G24" s="26">
        <v>96809.97798000003</v>
      </c>
      <c r="H24" s="31">
        <f t="shared" si="3"/>
        <v>10.47602532</v>
      </c>
      <c r="I24" s="26">
        <v>175897.38771</v>
      </c>
      <c r="J24" s="31">
        <f t="shared" si="4"/>
        <v>19.03425169</v>
      </c>
      <c r="K24" s="26">
        <v>2212721.0</v>
      </c>
      <c r="L24" s="26">
        <v>1550528.0</v>
      </c>
      <c r="M24" s="31">
        <f t="shared" si="5"/>
        <v>70.07336216</v>
      </c>
      <c r="N24" s="26">
        <v>490770.0</v>
      </c>
      <c r="O24" s="31">
        <f t="shared" si="6"/>
        <v>22.17947947</v>
      </c>
      <c r="P24" s="26">
        <v>32708.0</v>
      </c>
      <c r="Q24" s="31">
        <f t="shared" si="7"/>
        <v>1.478180033</v>
      </c>
      <c r="R24" s="26">
        <v>138715.0</v>
      </c>
      <c r="S24" s="31">
        <f t="shared" si="8"/>
        <v>6.26897833</v>
      </c>
    </row>
    <row r="25" ht="15.75" customHeight="1">
      <c r="A25" s="25" t="s">
        <v>64</v>
      </c>
      <c r="B25" s="26">
        <f>'i_C21&amp;23'!C25</f>
        <v>235590.018</v>
      </c>
      <c r="C25" s="26">
        <v>117857.87597000008</v>
      </c>
      <c r="D25" s="31">
        <f t="shared" si="1"/>
        <v>50.0266849</v>
      </c>
      <c r="E25" s="26">
        <v>77582.39225999998</v>
      </c>
      <c r="F25" s="31">
        <f t="shared" si="2"/>
        <v>32.93110333</v>
      </c>
      <c r="G25" s="26">
        <v>5116.974029999999</v>
      </c>
      <c r="H25" s="31">
        <f t="shared" si="3"/>
        <v>2.171982529</v>
      </c>
      <c r="I25" s="26">
        <v>35032.77573999999</v>
      </c>
      <c r="J25" s="31">
        <f t="shared" si="4"/>
        <v>14.87022924</v>
      </c>
      <c r="K25" s="26">
        <v>1456025.0</v>
      </c>
      <c r="L25" s="26">
        <v>1000585.0</v>
      </c>
      <c r="M25" s="31">
        <f t="shared" si="5"/>
        <v>68.7203173</v>
      </c>
      <c r="N25" s="26">
        <v>223766.0</v>
      </c>
      <c r="O25" s="31">
        <f t="shared" si="6"/>
        <v>15.36828008</v>
      </c>
      <c r="P25" s="26">
        <v>7343.0</v>
      </c>
      <c r="Q25" s="31">
        <f t="shared" si="7"/>
        <v>0.5043182638</v>
      </c>
      <c r="R25" s="26">
        <v>224330.0</v>
      </c>
      <c r="S25" s="31">
        <f t="shared" si="8"/>
        <v>15.40701568</v>
      </c>
    </row>
    <row r="26" ht="15.75" customHeight="1">
      <c r="A26" s="25" t="s">
        <v>65</v>
      </c>
      <c r="B26" s="26">
        <f>'i_C21&amp;23'!C26</f>
        <v>130981.064</v>
      </c>
      <c r="C26" s="26">
        <v>33313.40662999999</v>
      </c>
      <c r="D26" s="31">
        <f t="shared" si="1"/>
        <v>25.43375784</v>
      </c>
      <c r="E26" s="26">
        <v>79720.07653600001</v>
      </c>
      <c r="F26" s="31">
        <f t="shared" si="2"/>
        <v>60.86381811</v>
      </c>
      <c r="G26" s="26">
        <v>4464.5468</v>
      </c>
      <c r="H26" s="31">
        <f t="shared" si="3"/>
        <v>3.408543697</v>
      </c>
      <c r="I26" s="26">
        <v>13483.033999999998</v>
      </c>
      <c r="J26" s="31">
        <f t="shared" si="4"/>
        <v>10.29388035</v>
      </c>
      <c r="K26" s="26">
        <v>1496986.0</v>
      </c>
      <c r="L26" s="26">
        <v>874641.0</v>
      </c>
      <c r="M26" s="31">
        <f t="shared" si="5"/>
        <v>58.42679891</v>
      </c>
      <c r="N26" s="26">
        <v>506273.0</v>
      </c>
      <c r="O26" s="31">
        <f t="shared" si="6"/>
        <v>33.81948796</v>
      </c>
      <c r="P26" s="26">
        <v>17656.0</v>
      </c>
      <c r="Q26" s="31">
        <f t="shared" si="7"/>
        <v>1.179436548</v>
      </c>
      <c r="R26" s="26">
        <v>98416.0</v>
      </c>
      <c r="S26" s="31">
        <f t="shared" si="8"/>
        <v>6.57427658</v>
      </c>
    </row>
    <row r="27" ht="15.75" customHeight="1">
      <c r="A27" s="28"/>
      <c r="B27" s="28"/>
      <c r="C27" s="28"/>
      <c r="D27" s="28"/>
      <c r="E27" s="28"/>
      <c r="F27" s="28"/>
      <c r="G27" s="28"/>
      <c r="H27" s="28"/>
      <c r="I27" s="28"/>
      <c r="J27" s="28"/>
      <c r="K27" s="28"/>
      <c r="L27" s="28"/>
      <c r="M27" s="28"/>
      <c r="N27" s="28"/>
      <c r="O27" s="28"/>
      <c r="P27" s="28"/>
      <c r="Q27" s="28"/>
      <c r="R27" s="28"/>
      <c r="S27" s="28"/>
    </row>
    <row r="28" ht="15.75" customHeight="1">
      <c r="A28" s="9"/>
      <c r="B28" s="9"/>
      <c r="C28" s="9"/>
      <c r="D28" s="9"/>
      <c r="E28" s="9"/>
      <c r="F28" s="9"/>
      <c r="G28" s="9"/>
      <c r="H28" s="9"/>
      <c r="I28" s="9"/>
      <c r="J28" s="9"/>
      <c r="K28" s="9"/>
      <c r="L28" s="9"/>
      <c r="M28" s="9"/>
      <c r="N28" s="9"/>
      <c r="O28" s="9"/>
      <c r="P28" s="9"/>
      <c r="Q28" s="9"/>
      <c r="R28" s="9"/>
      <c r="S28" s="9"/>
    </row>
    <row r="29" ht="15.75" customHeight="1">
      <c r="A29" s="29" t="s">
        <v>69</v>
      </c>
      <c r="B29" s="29"/>
      <c r="C29" s="29"/>
      <c r="D29" s="29"/>
      <c r="E29" s="29"/>
      <c r="F29" s="29"/>
      <c r="G29" s="29"/>
      <c r="H29" s="29"/>
      <c r="I29" s="29"/>
      <c r="J29" s="29"/>
      <c r="K29" s="29"/>
      <c r="L29" s="29"/>
      <c r="M29" s="29"/>
      <c r="N29" s="29"/>
      <c r="O29" s="29"/>
      <c r="P29" s="29"/>
      <c r="Q29" s="29"/>
      <c r="R29" s="29"/>
      <c r="S29" s="29"/>
    </row>
    <row r="30" ht="15.75" customHeight="1">
      <c r="A30" s="29" t="s">
        <v>72</v>
      </c>
      <c r="B30" s="29"/>
      <c r="C30" s="29"/>
      <c r="D30" s="29"/>
      <c r="E30" s="29"/>
      <c r="F30" s="29"/>
      <c r="G30" s="29"/>
      <c r="H30" s="29"/>
      <c r="I30" s="29"/>
      <c r="J30" s="29"/>
      <c r="K30" s="29"/>
      <c r="L30" s="29"/>
      <c r="M30" s="29"/>
      <c r="N30" s="29"/>
      <c r="O30" s="29"/>
      <c r="P30" s="29"/>
      <c r="Q30" s="29"/>
      <c r="R30" s="29"/>
      <c r="S30" s="29"/>
    </row>
    <row r="31" ht="15.75" customHeight="1">
      <c r="A31" s="29" t="s">
        <v>283</v>
      </c>
      <c r="B31" s="29"/>
      <c r="C31" s="29"/>
      <c r="D31" s="29"/>
      <c r="E31" s="29"/>
      <c r="F31" s="29"/>
      <c r="G31" s="29"/>
      <c r="H31" s="29"/>
      <c r="I31" s="29"/>
      <c r="J31" s="29"/>
      <c r="K31" s="29"/>
      <c r="L31" s="29"/>
      <c r="M31" s="29"/>
      <c r="N31" s="29"/>
      <c r="O31" s="29"/>
      <c r="P31" s="29"/>
      <c r="Q31" s="29"/>
      <c r="R31" s="29"/>
      <c r="S31" s="29"/>
    </row>
    <row r="32" ht="15.75" customHeight="1">
      <c r="A32" s="29" t="s">
        <v>284</v>
      </c>
      <c r="B32" s="29"/>
      <c r="C32" s="29"/>
      <c r="D32" s="29"/>
      <c r="E32" s="29"/>
      <c r="F32" s="29"/>
      <c r="G32" s="29"/>
      <c r="H32" s="29"/>
      <c r="I32" s="29"/>
      <c r="J32" s="29"/>
      <c r="K32" s="29"/>
      <c r="L32" s="29"/>
      <c r="M32" s="29"/>
      <c r="N32" s="29"/>
      <c r="O32" s="29"/>
      <c r="P32" s="29"/>
      <c r="Q32" s="29"/>
      <c r="R32" s="29"/>
      <c r="S32" s="29"/>
    </row>
    <row r="33" ht="15.75" customHeight="1">
      <c r="A33" s="32" t="s">
        <v>76</v>
      </c>
      <c r="R33" s="32"/>
      <c r="S33" s="32"/>
    </row>
    <row r="34" ht="15.75" customHeight="1">
      <c r="A34" s="32"/>
      <c r="R34" s="32"/>
      <c r="S34" s="32"/>
    </row>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7">
    <mergeCell ref="C6:D6"/>
    <mergeCell ref="E6:F6"/>
    <mergeCell ref="G6:H6"/>
    <mergeCell ref="I6:J6"/>
    <mergeCell ref="L6:M6"/>
    <mergeCell ref="N6:O6"/>
    <mergeCell ref="A33:Q33"/>
    <mergeCell ref="A34:Q34"/>
    <mergeCell ref="P6:Q6"/>
    <mergeCell ref="R6:S6"/>
    <mergeCell ref="A4:A7"/>
    <mergeCell ref="B4:J4"/>
    <mergeCell ref="K4:S4"/>
    <mergeCell ref="B5:B7"/>
    <mergeCell ref="C5:J5"/>
    <mergeCell ref="K5:K7"/>
    <mergeCell ref="L5:S5"/>
  </mergeCells>
  <hyperlinks>
    <hyperlink display="BACK TO LIST" location="LIST!A1" ref="A1"/>
  </hyperlinks>
  <printOptions/>
  <pageMargins bottom="0.75" footer="0.0" header="0.0" left="0.7" right="0.7" top="0.75"/>
  <pageSetup paperSize="9" scale="63" orientation="portrait"/>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7"/>
    <pageSetUpPr/>
  </sheetPr>
  <sheetViews>
    <sheetView workbookViewId="0"/>
  </sheetViews>
  <sheetFormatPr customHeight="1" defaultColWidth="12.63" defaultRowHeight="15.0"/>
  <cols>
    <col customWidth="1" min="1" max="1" width="39.0"/>
    <col customWidth="1" min="2" max="26" width="14.0"/>
    <col customWidth="1" min="27" max="28" width="15.75"/>
    <col customWidth="1" min="29" max="42" width="14.0"/>
    <col customWidth="1" min="43" max="46" width="14.75"/>
    <col customWidth="1" min="47" max="55" width="14.0"/>
  </cols>
  <sheetData>
    <row r="1">
      <c r="A1" s="5" t="s">
        <v>1</v>
      </c>
    </row>
    <row r="2" ht="15.0" customHeight="1">
      <c r="A2" s="6" t="s">
        <v>281</v>
      </c>
      <c r="B2" s="6"/>
      <c r="C2" s="6"/>
      <c r="D2" s="6"/>
      <c r="E2" s="53"/>
      <c r="F2" s="53"/>
      <c r="G2" s="53"/>
      <c r="H2" s="53"/>
      <c r="K2" s="53"/>
      <c r="L2" s="53"/>
      <c r="M2" s="53"/>
      <c r="N2" s="53"/>
      <c r="Q2" s="53"/>
      <c r="R2" s="53"/>
      <c r="S2" s="53"/>
      <c r="T2" s="53"/>
      <c r="U2" s="53"/>
      <c r="V2" s="53"/>
      <c r="W2" s="53"/>
      <c r="X2" s="53"/>
      <c r="Y2" s="53"/>
      <c r="Z2" s="53"/>
      <c r="AA2" s="53"/>
      <c r="AB2" s="53"/>
      <c r="AC2" s="53"/>
      <c r="AD2" s="53"/>
      <c r="AE2" s="53"/>
      <c r="AF2" s="53"/>
      <c r="AG2" s="53"/>
      <c r="AH2" s="53"/>
      <c r="AI2" s="53"/>
      <c r="AJ2" s="53"/>
      <c r="AK2" s="53"/>
      <c r="AL2" s="53"/>
      <c r="AM2" s="53"/>
      <c r="AN2" s="53"/>
      <c r="AO2" s="53"/>
      <c r="AP2" s="53"/>
      <c r="AQ2" s="53"/>
      <c r="AR2" s="53"/>
      <c r="AS2" s="53"/>
      <c r="AT2" s="53"/>
      <c r="AU2" s="53"/>
      <c r="AV2" s="53"/>
      <c r="AW2" s="53"/>
      <c r="AX2" s="53"/>
      <c r="AY2" s="53"/>
      <c r="AZ2" s="53"/>
      <c r="BA2" s="53"/>
      <c r="BB2" s="53"/>
      <c r="BC2" s="53"/>
    </row>
    <row r="3">
      <c r="A3" s="8"/>
      <c r="B3" s="9"/>
      <c r="C3" s="9"/>
      <c r="D3" s="9"/>
      <c r="E3" s="9"/>
      <c r="F3" s="9"/>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c r="AK3" s="9"/>
      <c r="AL3" s="9"/>
      <c r="AM3" s="9"/>
      <c r="AN3" s="9"/>
      <c r="AO3" s="9"/>
      <c r="AP3" s="9"/>
      <c r="AQ3" s="9"/>
      <c r="AR3" s="9"/>
      <c r="AS3" s="9"/>
      <c r="AT3" s="9"/>
      <c r="AU3" s="9"/>
      <c r="AV3" s="9"/>
      <c r="AW3" s="9"/>
      <c r="AX3" s="9"/>
      <c r="AY3" s="9"/>
      <c r="AZ3" s="9"/>
      <c r="BA3" s="9"/>
      <c r="BB3" s="9"/>
      <c r="BC3" s="9"/>
    </row>
    <row r="4" ht="15.0" customHeight="1">
      <c r="A4" s="10" t="s">
        <v>13</v>
      </c>
      <c r="B4" s="21" t="s">
        <v>256</v>
      </c>
      <c r="C4" s="42" t="s">
        <v>282</v>
      </c>
      <c r="D4" s="14"/>
      <c r="E4" s="14"/>
      <c r="F4" s="14"/>
      <c r="G4" s="14"/>
      <c r="H4" s="14"/>
      <c r="I4" s="14"/>
      <c r="J4" s="14"/>
      <c r="K4" s="14"/>
      <c r="L4" s="14"/>
      <c r="M4" s="14"/>
      <c r="N4" s="14"/>
      <c r="O4" s="14"/>
      <c r="P4" s="14"/>
      <c r="Q4" s="14"/>
      <c r="R4" s="14"/>
      <c r="S4" s="14"/>
      <c r="T4" s="14"/>
      <c r="U4" s="14"/>
      <c r="V4" s="14"/>
      <c r="W4" s="14"/>
      <c r="X4" s="14"/>
      <c r="Y4" s="14"/>
      <c r="Z4" s="14"/>
      <c r="AA4" s="14"/>
      <c r="AB4" s="14"/>
      <c r="AC4" s="14"/>
      <c r="AD4" s="14"/>
      <c r="AE4" s="14"/>
      <c r="AF4" s="14"/>
      <c r="AG4" s="14"/>
      <c r="AH4" s="14"/>
      <c r="AI4" s="14"/>
      <c r="AJ4" s="14"/>
      <c r="AK4" s="14"/>
      <c r="AL4" s="14"/>
      <c r="AM4" s="14"/>
      <c r="AN4" s="14"/>
      <c r="AO4" s="14"/>
      <c r="AP4" s="14"/>
      <c r="AQ4" s="14"/>
      <c r="AR4" s="14"/>
      <c r="AS4" s="14"/>
      <c r="AT4" s="15"/>
      <c r="AU4" s="9"/>
      <c r="AV4" s="9"/>
      <c r="AW4" s="9"/>
      <c r="AX4" s="9"/>
      <c r="AY4" s="9"/>
      <c r="AZ4" s="9"/>
      <c r="BA4" s="9"/>
      <c r="BB4" s="9"/>
      <c r="BC4" s="9"/>
    </row>
    <row r="5" ht="75.0" customHeight="1">
      <c r="A5" s="17"/>
      <c r="B5" s="17"/>
      <c r="C5" s="13" t="s">
        <v>285</v>
      </c>
      <c r="D5" s="15"/>
      <c r="E5" s="13" t="s">
        <v>286</v>
      </c>
      <c r="F5" s="15"/>
      <c r="G5" s="13" t="s">
        <v>287</v>
      </c>
      <c r="H5" s="15"/>
      <c r="I5" s="13" t="s">
        <v>288</v>
      </c>
      <c r="J5" s="15"/>
      <c r="K5" s="13" t="s">
        <v>289</v>
      </c>
      <c r="L5" s="15"/>
      <c r="M5" s="13" t="s">
        <v>290</v>
      </c>
      <c r="N5" s="15"/>
      <c r="O5" s="13" t="s">
        <v>291</v>
      </c>
      <c r="P5" s="15"/>
      <c r="Q5" s="13" t="s">
        <v>292</v>
      </c>
      <c r="R5" s="15"/>
      <c r="S5" s="13" t="s">
        <v>293</v>
      </c>
      <c r="T5" s="15"/>
      <c r="U5" s="13" t="s">
        <v>294</v>
      </c>
      <c r="V5" s="15"/>
      <c r="W5" s="13" t="s">
        <v>295</v>
      </c>
      <c r="X5" s="15"/>
      <c r="Y5" s="13" t="s">
        <v>296</v>
      </c>
      <c r="Z5" s="15"/>
      <c r="AA5" s="13" t="s">
        <v>297</v>
      </c>
      <c r="AB5" s="15"/>
      <c r="AC5" s="13" t="s">
        <v>298</v>
      </c>
      <c r="AD5" s="15"/>
      <c r="AE5" s="13" t="s">
        <v>299</v>
      </c>
      <c r="AF5" s="15"/>
      <c r="AG5" s="13" t="s">
        <v>300</v>
      </c>
      <c r="AH5" s="15"/>
      <c r="AI5" s="13" t="s">
        <v>302</v>
      </c>
      <c r="AJ5" s="15"/>
      <c r="AK5" s="13" t="s">
        <v>303</v>
      </c>
      <c r="AL5" s="15"/>
      <c r="AM5" s="13" t="s">
        <v>304</v>
      </c>
      <c r="AN5" s="15"/>
      <c r="AO5" s="13" t="s">
        <v>305</v>
      </c>
      <c r="AP5" s="15"/>
      <c r="AQ5" s="13" t="s">
        <v>306</v>
      </c>
      <c r="AR5" s="15"/>
      <c r="AS5" s="13" t="s">
        <v>307</v>
      </c>
      <c r="AT5" s="15"/>
      <c r="AU5" s="55"/>
      <c r="AV5" s="55"/>
      <c r="AW5" s="55"/>
      <c r="AX5" s="55"/>
      <c r="AY5" s="55"/>
      <c r="AZ5" s="55"/>
      <c r="BA5" s="55"/>
      <c r="BB5" s="55"/>
      <c r="BC5" s="55"/>
    </row>
    <row r="6">
      <c r="A6" s="18"/>
      <c r="B6" s="18"/>
      <c r="C6" s="24" t="s">
        <v>37</v>
      </c>
      <c r="D6" s="24" t="s">
        <v>39</v>
      </c>
      <c r="E6" s="24" t="s">
        <v>37</v>
      </c>
      <c r="F6" s="24" t="s">
        <v>39</v>
      </c>
      <c r="G6" s="24" t="s">
        <v>37</v>
      </c>
      <c r="H6" s="24" t="s">
        <v>39</v>
      </c>
      <c r="I6" s="24" t="s">
        <v>37</v>
      </c>
      <c r="J6" s="24" t="s">
        <v>39</v>
      </c>
      <c r="K6" s="24" t="s">
        <v>37</v>
      </c>
      <c r="L6" s="24" t="s">
        <v>39</v>
      </c>
      <c r="M6" s="24" t="s">
        <v>37</v>
      </c>
      <c r="N6" s="24" t="s">
        <v>39</v>
      </c>
      <c r="O6" s="24" t="s">
        <v>37</v>
      </c>
      <c r="P6" s="24" t="s">
        <v>39</v>
      </c>
      <c r="Q6" s="24" t="s">
        <v>37</v>
      </c>
      <c r="R6" s="24" t="s">
        <v>39</v>
      </c>
      <c r="S6" s="24" t="s">
        <v>37</v>
      </c>
      <c r="T6" s="24" t="s">
        <v>39</v>
      </c>
      <c r="U6" s="24" t="s">
        <v>37</v>
      </c>
      <c r="V6" s="24" t="s">
        <v>39</v>
      </c>
      <c r="W6" s="24" t="s">
        <v>37</v>
      </c>
      <c r="X6" s="24" t="s">
        <v>39</v>
      </c>
      <c r="Y6" s="24" t="s">
        <v>37</v>
      </c>
      <c r="Z6" s="24" t="s">
        <v>39</v>
      </c>
      <c r="AA6" s="24" t="s">
        <v>37</v>
      </c>
      <c r="AB6" s="24" t="s">
        <v>39</v>
      </c>
      <c r="AC6" s="24" t="s">
        <v>37</v>
      </c>
      <c r="AD6" s="24" t="s">
        <v>39</v>
      </c>
      <c r="AE6" s="24" t="s">
        <v>37</v>
      </c>
      <c r="AF6" s="24" t="s">
        <v>39</v>
      </c>
      <c r="AG6" s="24" t="s">
        <v>37</v>
      </c>
      <c r="AH6" s="24" t="s">
        <v>39</v>
      </c>
      <c r="AI6" s="24" t="s">
        <v>37</v>
      </c>
      <c r="AJ6" s="24" t="s">
        <v>39</v>
      </c>
      <c r="AK6" s="24" t="s">
        <v>37</v>
      </c>
      <c r="AL6" s="24" t="s">
        <v>39</v>
      </c>
      <c r="AM6" s="24" t="s">
        <v>37</v>
      </c>
      <c r="AN6" s="24" t="s">
        <v>39</v>
      </c>
      <c r="AO6" s="24" t="s">
        <v>37</v>
      </c>
      <c r="AP6" s="24" t="s">
        <v>39</v>
      </c>
      <c r="AQ6" s="24" t="s">
        <v>37</v>
      </c>
      <c r="AR6" s="24" t="s">
        <v>39</v>
      </c>
      <c r="AS6" s="24" t="s">
        <v>37</v>
      </c>
      <c r="AT6" s="24" t="s">
        <v>39</v>
      </c>
      <c r="AU6" s="55"/>
      <c r="AV6" s="55"/>
      <c r="AW6" s="55"/>
      <c r="AX6" s="55"/>
      <c r="AY6" s="55"/>
      <c r="AZ6" s="55"/>
      <c r="BA6" s="55"/>
      <c r="BB6" s="55"/>
      <c r="BC6" s="55"/>
    </row>
    <row r="7">
      <c r="A7" s="16"/>
      <c r="B7" s="20"/>
      <c r="C7" s="20"/>
      <c r="D7" s="20"/>
      <c r="E7" s="20"/>
      <c r="F7" s="20"/>
      <c r="G7" s="20"/>
      <c r="H7" s="20"/>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c r="AM7" s="20"/>
      <c r="AN7" s="20"/>
      <c r="AO7" s="20"/>
      <c r="AP7" s="20"/>
      <c r="AQ7" s="20"/>
      <c r="AR7" s="20"/>
      <c r="AS7" s="20"/>
      <c r="AT7" s="20"/>
      <c r="AU7" s="56"/>
      <c r="AV7" s="56"/>
      <c r="AW7" s="56"/>
      <c r="AX7" s="56"/>
      <c r="AY7" s="56"/>
      <c r="AZ7" s="56"/>
      <c r="BA7" s="56"/>
      <c r="BB7" s="56"/>
      <c r="BC7" s="56"/>
    </row>
    <row r="8">
      <c r="A8" s="22" t="s">
        <v>33</v>
      </c>
      <c r="B8" s="23">
        <v>6.1457081E7</v>
      </c>
      <c r="C8" s="23">
        <v>2.5486632E7</v>
      </c>
      <c r="D8" s="27">
        <f t="shared" ref="D8:D25" si="1">(C8/$B8)*100</f>
        <v>41.47061915</v>
      </c>
      <c r="E8" s="23">
        <v>1.3217645E7</v>
      </c>
      <c r="F8" s="27">
        <f t="shared" ref="F8:F25" si="2">(E8/$B8)*100</f>
        <v>21.50711486</v>
      </c>
      <c r="G8" s="23">
        <v>1.2803635E7</v>
      </c>
      <c r="H8" s="27">
        <f t="shared" ref="H8:H25" si="3">(G8/$B8)*100</f>
        <v>20.83345774</v>
      </c>
      <c r="I8" s="23">
        <v>5347249.0</v>
      </c>
      <c r="J8" s="27">
        <f t="shared" ref="J8:J25" si="4">(I8/$B8)*100</f>
        <v>8.700785838</v>
      </c>
      <c r="K8" s="23">
        <v>1.7384401E7</v>
      </c>
      <c r="L8" s="27">
        <f t="shared" ref="L8:L25" si="5">(K8/$B8)*100</f>
        <v>28.28705939</v>
      </c>
      <c r="M8" s="23">
        <v>5257592.0</v>
      </c>
      <c r="N8" s="27">
        <f t="shared" ref="N8:N25" si="6">(M8/$B8)*100</f>
        <v>8.554900289</v>
      </c>
      <c r="O8" s="23">
        <v>2.6684342E7</v>
      </c>
      <c r="P8" s="27">
        <f t="shared" ref="P8:P25" si="7">(O8/$B8)*100</f>
        <v>43.41947513</v>
      </c>
      <c r="Q8" s="23">
        <v>5.7898601E7</v>
      </c>
      <c r="R8" s="27">
        <f t="shared" ref="R8:R25" si="8">(Q8/$B8)*100</f>
        <v>94.20981286</v>
      </c>
      <c r="S8" s="23">
        <v>5.3639858E7</v>
      </c>
      <c r="T8" s="27">
        <f t="shared" ref="T8:T25" si="9">(S8/$B8)*100</f>
        <v>87.28019152</v>
      </c>
      <c r="U8" s="23">
        <v>3329662.0</v>
      </c>
      <c r="V8" s="27">
        <f t="shared" ref="V8:V25" si="10">(U8/$B8)*100</f>
        <v>5.417865518</v>
      </c>
      <c r="W8" s="23">
        <v>5765219.0</v>
      </c>
      <c r="X8" s="27">
        <f t="shared" ref="X8:X25" si="11">(W8/$B8)*100</f>
        <v>9.380886476</v>
      </c>
      <c r="Y8" s="23">
        <v>5532837.0</v>
      </c>
      <c r="Z8" s="27">
        <f t="shared" ref="Z8:Z25" si="12">(Y8/$B8)*100</f>
        <v>9.002765686</v>
      </c>
      <c r="AA8" s="23">
        <v>7904443.0</v>
      </c>
      <c r="AB8" s="27">
        <f t="shared" ref="AB8:AB25" si="13">(AA8/$B8)*100</f>
        <v>12.86172866</v>
      </c>
      <c r="AC8" s="23">
        <v>4049303.0</v>
      </c>
      <c r="AD8" s="27">
        <f t="shared" ref="AD8:AD25" si="14">(AC8/$B8)*100</f>
        <v>6.588830667</v>
      </c>
      <c r="AE8" s="23">
        <v>2726701.0</v>
      </c>
      <c r="AF8" s="27">
        <f t="shared" ref="AF8:AF25" si="15">(AE8/$B8)*100</f>
        <v>4.436756441</v>
      </c>
      <c r="AG8" s="23">
        <v>5458642.0</v>
      </c>
      <c r="AH8" s="27">
        <f t="shared" ref="AH8:AH25" si="16">(AG8/$B8)*100</f>
        <v>8.882039158</v>
      </c>
      <c r="AI8" s="23">
        <v>1.2613635E7</v>
      </c>
      <c r="AJ8" s="27">
        <f t="shared" ref="AJ8:AJ25" si="17">(AI8/$B8)*100</f>
        <v>20.5242989</v>
      </c>
      <c r="AK8" s="23">
        <v>3.9077966E7</v>
      </c>
      <c r="AL8" s="27">
        <f t="shared" ref="AL8:AL25" si="18">(AK8/$B8)*100</f>
        <v>63.58578274</v>
      </c>
      <c r="AM8" s="23">
        <v>2.1655882E7</v>
      </c>
      <c r="AN8" s="27">
        <f t="shared" ref="AN8:AN25" si="19">(AM8/$B8)*100</f>
        <v>35.23740739</v>
      </c>
      <c r="AO8" s="23">
        <v>2.1051723E7</v>
      </c>
      <c r="AP8" s="27">
        <f t="shared" ref="AP8:AP25" si="20">(AO8/$B8)*100</f>
        <v>34.25434898</v>
      </c>
      <c r="AQ8" s="23">
        <v>1.0172063E7</v>
      </c>
      <c r="AR8" s="27">
        <f t="shared" ref="AR8:AR25" si="21">(AQ8/$B8)*100</f>
        <v>16.55149062</v>
      </c>
      <c r="AS8" s="23">
        <v>5172029.0</v>
      </c>
      <c r="AT8" s="27">
        <f t="shared" ref="AT8:AT25" si="22">(AS8/$B8)*100</f>
        <v>8.415676299</v>
      </c>
      <c r="AU8" s="57"/>
      <c r="AV8" s="57"/>
      <c r="AW8" s="57"/>
      <c r="AX8" s="57"/>
      <c r="AY8" s="57"/>
      <c r="AZ8" s="57"/>
      <c r="BA8" s="57"/>
      <c r="BB8" s="57"/>
      <c r="BC8" s="57"/>
    </row>
    <row r="9">
      <c r="A9" s="25" t="s">
        <v>38</v>
      </c>
      <c r="B9" s="26">
        <v>9448296.0</v>
      </c>
      <c r="C9" s="26">
        <v>4798479.0</v>
      </c>
      <c r="D9" s="31">
        <f t="shared" si="1"/>
        <v>50.78671329</v>
      </c>
      <c r="E9" s="26">
        <v>3461158.0</v>
      </c>
      <c r="F9" s="31">
        <f t="shared" si="2"/>
        <v>36.63261608</v>
      </c>
      <c r="G9" s="26">
        <v>2581902.0</v>
      </c>
      <c r="H9" s="31">
        <f t="shared" si="3"/>
        <v>27.32664176</v>
      </c>
      <c r="I9" s="26">
        <v>1430393.0</v>
      </c>
      <c r="J9" s="31">
        <f t="shared" si="4"/>
        <v>15.13916372</v>
      </c>
      <c r="K9" s="26">
        <v>3013475.0</v>
      </c>
      <c r="L9" s="31">
        <f t="shared" si="5"/>
        <v>31.89437545</v>
      </c>
      <c r="M9" s="26">
        <v>1020887.0</v>
      </c>
      <c r="N9" s="31">
        <f t="shared" si="6"/>
        <v>10.80498536</v>
      </c>
      <c r="O9" s="26">
        <v>5592552.0</v>
      </c>
      <c r="P9" s="31">
        <f t="shared" si="7"/>
        <v>59.19111764</v>
      </c>
      <c r="Q9" s="26">
        <v>9110448.0</v>
      </c>
      <c r="R9" s="31">
        <f t="shared" si="8"/>
        <v>96.42424412</v>
      </c>
      <c r="S9" s="26">
        <v>7968885.0</v>
      </c>
      <c r="T9" s="31">
        <f t="shared" si="9"/>
        <v>84.34203374</v>
      </c>
      <c r="U9" s="26">
        <v>975171.0</v>
      </c>
      <c r="V9" s="31">
        <f t="shared" si="10"/>
        <v>10.32113092</v>
      </c>
      <c r="W9" s="26">
        <v>1389087.0</v>
      </c>
      <c r="X9" s="31">
        <f t="shared" si="11"/>
        <v>14.70198436</v>
      </c>
      <c r="Y9" s="26">
        <v>1329197.0</v>
      </c>
      <c r="Z9" s="31">
        <f t="shared" si="12"/>
        <v>14.06811345</v>
      </c>
      <c r="AA9" s="26">
        <v>1314647.0</v>
      </c>
      <c r="AB9" s="31">
        <f t="shared" si="13"/>
        <v>13.91411742</v>
      </c>
      <c r="AC9" s="26">
        <v>814188.0</v>
      </c>
      <c r="AD9" s="31">
        <f t="shared" si="14"/>
        <v>8.617299881</v>
      </c>
      <c r="AE9" s="26">
        <v>553639.0</v>
      </c>
      <c r="AF9" s="31">
        <f t="shared" si="15"/>
        <v>5.859670357</v>
      </c>
      <c r="AG9" s="26">
        <v>1433192.0</v>
      </c>
      <c r="AH9" s="31">
        <f t="shared" si="16"/>
        <v>15.16878811</v>
      </c>
      <c r="AI9" s="26">
        <v>3162674.0</v>
      </c>
      <c r="AJ9" s="31">
        <f t="shared" si="17"/>
        <v>33.47348559</v>
      </c>
      <c r="AK9" s="26">
        <v>5982118.0</v>
      </c>
      <c r="AL9" s="31">
        <f t="shared" si="18"/>
        <v>63.31425264</v>
      </c>
      <c r="AM9" s="26">
        <v>4006462.0</v>
      </c>
      <c r="AN9" s="31">
        <f t="shared" si="19"/>
        <v>42.40406947</v>
      </c>
      <c r="AO9" s="26">
        <v>3293070.0</v>
      </c>
      <c r="AP9" s="31">
        <f t="shared" si="20"/>
        <v>34.8535863</v>
      </c>
      <c r="AQ9" s="26">
        <v>2241064.0</v>
      </c>
      <c r="AR9" s="31">
        <f t="shared" si="21"/>
        <v>23.71923996</v>
      </c>
      <c r="AS9" s="26">
        <v>1082616.0</v>
      </c>
      <c r="AT9" s="31">
        <f t="shared" si="22"/>
        <v>11.4583201</v>
      </c>
      <c r="AU9" s="58"/>
      <c r="AV9" s="58"/>
      <c r="AW9" s="58"/>
      <c r="AX9" s="58"/>
      <c r="AY9" s="58"/>
      <c r="AZ9" s="58"/>
      <c r="BA9" s="58"/>
      <c r="BB9" s="58"/>
      <c r="BC9" s="58"/>
    </row>
    <row r="10">
      <c r="A10" s="25" t="s">
        <v>41</v>
      </c>
      <c r="B10" s="26">
        <v>1074349.0</v>
      </c>
      <c r="C10" s="26">
        <v>550475.0</v>
      </c>
      <c r="D10" s="31">
        <f t="shared" si="1"/>
        <v>51.23800553</v>
      </c>
      <c r="E10" s="26">
        <v>206142.0</v>
      </c>
      <c r="F10" s="31">
        <f t="shared" si="2"/>
        <v>19.18761967</v>
      </c>
      <c r="G10" s="26">
        <v>309872.0</v>
      </c>
      <c r="H10" s="31">
        <f t="shared" si="3"/>
        <v>28.84276897</v>
      </c>
      <c r="I10" s="26">
        <v>79828.0</v>
      </c>
      <c r="J10" s="31">
        <f t="shared" si="4"/>
        <v>7.430360153</v>
      </c>
      <c r="K10" s="26">
        <v>421842.0</v>
      </c>
      <c r="L10" s="31">
        <f t="shared" si="5"/>
        <v>39.26489437</v>
      </c>
      <c r="M10" s="26">
        <v>113015.0</v>
      </c>
      <c r="N10" s="31">
        <f t="shared" si="6"/>
        <v>10.5193936</v>
      </c>
      <c r="O10" s="26">
        <v>393398.0</v>
      </c>
      <c r="P10" s="31">
        <f t="shared" si="7"/>
        <v>36.61733757</v>
      </c>
      <c r="Q10" s="26">
        <v>1001751.0</v>
      </c>
      <c r="R10" s="31">
        <f t="shared" si="8"/>
        <v>93.24260552</v>
      </c>
      <c r="S10" s="26">
        <v>933541.0</v>
      </c>
      <c r="T10" s="31">
        <f t="shared" si="9"/>
        <v>86.89364443</v>
      </c>
      <c r="U10" s="26">
        <v>38773.0</v>
      </c>
      <c r="V10" s="31">
        <f t="shared" si="10"/>
        <v>3.608976227</v>
      </c>
      <c r="W10" s="26">
        <v>92337.0</v>
      </c>
      <c r="X10" s="31">
        <f t="shared" si="11"/>
        <v>8.594693158</v>
      </c>
      <c r="Y10" s="26">
        <v>57012.0</v>
      </c>
      <c r="Z10" s="31">
        <f t="shared" si="12"/>
        <v>5.306655472</v>
      </c>
      <c r="AA10" s="26">
        <v>199935.0</v>
      </c>
      <c r="AB10" s="31">
        <f t="shared" si="13"/>
        <v>18.60987444</v>
      </c>
      <c r="AC10" s="26">
        <v>58393.0</v>
      </c>
      <c r="AD10" s="31">
        <f t="shared" si="14"/>
        <v>5.435198432</v>
      </c>
      <c r="AE10" s="26">
        <v>46443.0</v>
      </c>
      <c r="AF10" s="31">
        <f t="shared" si="15"/>
        <v>4.322896936</v>
      </c>
      <c r="AG10" s="26">
        <v>97103.0</v>
      </c>
      <c r="AH10" s="31">
        <f t="shared" si="16"/>
        <v>9.038310642</v>
      </c>
      <c r="AI10" s="26">
        <v>216979.0</v>
      </c>
      <c r="AJ10" s="31">
        <f t="shared" si="17"/>
        <v>20.19632354</v>
      </c>
      <c r="AK10" s="26">
        <v>777966.0</v>
      </c>
      <c r="AL10" s="31">
        <f t="shared" si="18"/>
        <v>72.41278207</v>
      </c>
      <c r="AM10" s="26">
        <v>432382.0</v>
      </c>
      <c r="AN10" s="31">
        <f t="shared" si="19"/>
        <v>40.2459536</v>
      </c>
      <c r="AO10" s="26">
        <v>368951.0</v>
      </c>
      <c r="AP10" s="31">
        <f t="shared" si="20"/>
        <v>34.34182002</v>
      </c>
      <c r="AQ10" s="26">
        <v>145015.0</v>
      </c>
      <c r="AR10" s="31">
        <f t="shared" si="21"/>
        <v>13.49794154</v>
      </c>
      <c r="AS10" s="26">
        <v>96886.0</v>
      </c>
      <c r="AT10" s="31">
        <f t="shared" si="22"/>
        <v>9.018112364</v>
      </c>
      <c r="AU10" s="58"/>
      <c r="AV10" s="58"/>
      <c r="AW10" s="58"/>
      <c r="AX10" s="58"/>
      <c r="AY10" s="58"/>
      <c r="AZ10" s="58"/>
      <c r="BA10" s="58"/>
      <c r="BB10" s="58"/>
      <c r="BC10" s="58"/>
    </row>
    <row r="11">
      <c r="A11" s="25" t="s">
        <v>43</v>
      </c>
      <c r="B11" s="26">
        <v>3260630.0</v>
      </c>
      <c r="C11" s="26">
        <v>1160436.0</v>
      </c>
      <c r="D11" s="31">
        <f t="shared" si="1"/>
        <v>35.58931863</v>
      </c>
      <c r="E11" s="26">
        <v>342753.0</v>
      </c>
      <c r="F11" s="31">
        <f t="shared" si="2"/>
        <v>10.51186427</v>
      </c>
      <c r="G11" s="26">
        <v>436025.0</v>
      </c>
      <c r="H11" s="31">
        <f t="shared" si="3"/>
        <v>13.37241576</v>
      </c>
      <c r="I11" s="26">
        <v>216967.0</v>
      </c>
      <c r="J11" s="31">
        <f t="shared" si="4"/>
        <v>6.654143524</v>
      </c>
      <c r="K11" s="26">
        <v>1064327.0</v>
      </c>
      <c r="L11" s="31">
        <f t="shared" si="5"/>
        <v>32.64175941</v>
      </c>
      <c r="M11" s="26">
        <v>229947.0</v>
      </c>
      <c r="N11" s="31">
        <f t="shared" si="6"/>
        <v>7.052226104</v>
      </c>
      <c r="O11" s="26">
        <v>1630375.0</v>
      </c>
      <c r="P11" s="31">
        <f t="shared" si="7"/>
        <v>50.00184014</v>
      </c>
      <c r="Q11" s="26">
        <v>3165356.0</v>
      </c>
      <c r="R11" s="31">
        <f t="shared" si="8"/>
        <v>97.07804933</v>
      </c>
      <c r="S11" s="26">
        <v>2785650.0</v>
      </c>
      <c r="T11" s="31">
        <f t="shared" si="9"/>
        <v>85.43287647</v>
      </c>
      <c r="U11" s="26">
        <v>200717.0</v>
      </c>
      <c r="V11" s="31">
        <f t="shared" si="10"/>
        <v>6.155773577</v>
      </c>
      <c r="W11" s="26">
        <v>221653.0</v>
      </c>
      <c r="X11" s="31">
        <f t="shared" si="11"/>
        <v>6.797858083</v>
      </c>
      <c r="Y11" s="26">
        <v>311233.0</v>
      </c>
      <c r="Z11" s="31">
        <f t="shared" si="12"/>
        <v>9.545179919</v>
      </c>
      <c r="AA11" s="26">
        <v>421025.0</v>
      </c>
      <c r="AB11" s="31">
        <f t="shared" si="13"/>
        <v>12.91238196</v>
      </c>
      <c r="AC11" s="26">
        <v>112011.0</v>
      </c>
      <c r="AD11" s="31">
        <f t="shared" si="14"/>
        <v>3.435256377</v>
      </c>
      <c r="AE11" s="26">
        <v>78754.0</v>
      </c>
      <c r="AF11" s="31">
        <f t="shared" si="15"/>
        <v>2.415300111</v>
      </c>
      <c r="AG11" s="26">
        <v>175881.0</v>
      </c>
      <c r="AH11" s="31">
        <f t="shared" si="16"/>
        <v>5.394080285</v>
      </c>
      <c r="AI11" s="26">
        <v>418526.0</v>
      </c>
      <c r="AJ11" s="31">
        <f t="shared" si="17"/>
        <v>12.83574033</v>
      </c>
      <c r="AK11" s="26">
        <v>1850572.0</v>
      </c>
      <c r="AL11" s="31">
        <f t="shared" si="18"/>
        <v>56.75504427</v>
      </c>
      <c r="AM11" s="26">
        <v>1194688.0</v>
      </c>
      <c r="AN11" s="31">
        <f t="shared" si="19"/>
        <v>36.63979047</v>
      </c>
      <c r="AO11" s="26">
        <v>1083626.0</v>
      </c>
      <c r="AP11" s="31">
        <f t="shared" si="20"/>
        <v>33.2336389</v>
      </c>
      <c r="AQ11" s="26">
        <v>290483.0</v>
      </c>
      <c r="AR11" s="31">
        <f t="shared" si="21"/>
        <v>8.908799833</v>
      </c>
      <c r="AS11" s="26">
        <v>166444.0</v>
      </c>
      <c r="AT11" s="31">
        <f t="shared" si="22"/>
        <v>5.104657689</v>
      </c>
      <c r="AU11" s="58"/>
      <c r="AV11" s="58"/>
      <c r="AW11" s="58"/>
      <c r="AX11" s="58"/>
      <c r="AY11" s="58"/>
      <c r="AZ11" s="58"/>
      <c r="BA11" s="58"/>
      <c r="BB11" s="58"/>
      <c r="BC11" s="58"/>
    </row>
    <row r="12">
      <c r="A12" s="25" t="s">
        <v>44</v>
      </c>
      <c r="B12" s="26">
        <v>2290016.0</v>
      </c>
      <c r="C12" s="26">
        <v>916041.0</v>
      </c>
      <c r="D12" s="31">
        <f t="shared" si="1"/>
        <v>40.00151091</v>
      </c>
      <c r="E12" s="26">
        <v>567363.0</v>
      </c>
      <c r="F12" s="31">
        <f t="shared" si="2"/>
        <v>24.77550375</v>
      </c>
      <c r="G12" s="26">
        <v>655604.0</v>
      </c>
      <c r="H12" s="31">
        <f t="shared" si="3"/>
        <v>28.62879561</v>
      </c>
      <c r="I12" s="26">
        <v>108301.0</v>
      </c>
      <c r="J12" s="31">
        <f t="shared" si="4"/>
        <v>4.729268267</v>
      </c>
      <c r="K12" s="26">
        <v>567877.0</v>
      </c>
      <c r="L12" s="31">
        <f t="shared" si="5"/>
        <v>24.79794901</v>
      </c>
      <c r="M12" s="26">
        <v>120854.0</v>
      </c>
      <c r="N12" s="31">
        <f t="shared" si="6"/>
        <v>5.277430376</v>
      </c>
      <c r="O12" s="26">
        <v>637827.0</v>
      </c>
      <c r="P12" s="31">
        <f t="shared" si="7"/>
        <v>27.85251282</v>
      </c>
      <c r="Q12" s="26">
        <v>2151585.0</v>
      </c>
      <c r="R12" s="31">
        <f t="shared" si="8"/>
        <v>93.9550204</v>
      </c>
      <c r="S12" s="26">
        <v>2001244.0</v>
      </c>
      <c r="T12" s="31">
        <f t="shared" si="9"/>
        <v>87.3899571</v>
      </c>
      <c r="U12" s="26">
        <v>61492.0</v>
      </c>
      <c r="V12" s="31">
        <f t="shared" si="10"/>
        <v>2.685221413</v>
      </c>
      <c r="W12" s="26">
        <v>168489.0</v>
      </c>
      <c r="X12" s="31">
        <f t="shared" si="11"/>
        <v>7.357546847</v>
      </c>
      <c r="Y12" s="26">
        <v>146235.0</v>
      </c>
      <c r="Z12" s="31">
        <f t="shared" si="12"/>
        <v>6.385763244</v>
      </c>
      <c r="AA12" s="26">
        <v>325146.0</v>
      </c>
      <c r="AB12" s="31">
        <f t="shared" si="13"/>
        <v>14.19841608</v>
      </c>
      <c r="AC12" s="26">
        <v>102477.0</v>
      </c>
      <c r="AD12" s="31">
        <f t="shared" si="14"/>
        <v>4.4749469</v>
      </c>
      <c r="AE12" s="26">
        <v>81860.0</v>
      </c>
      <c r="AF12" s="31">
        <f t="shared" si="15"/>
        <v>3.574647513</v>
      </c>
      <c r="AG12" s="26">
        <v>95105.0</v>
      </c>
      <c r="AH12" s="31">
        <f t="shared" si="16"/>
        <v>4.153027752</v>
      </c>
      <c r="AI12" s="26">
        <v>463058.0</v>
      </c>
      <c r="AJ12" s="31">
        <f t="shared" si="17"/>
        <v>20.22073208</v>
      </c>
      <c r="AK12" s="26">
        <v>1370865.0</v>
      </c>
      <c r="AL12" s="31">
        <f t="shared" si="18"/>
        <v>59.86268218</v>
      </c>
      <c r="AM12" s="26">
        <v>736774.0</v>
      </c>
      <c r="AN12" s="31">
        <f t="shared" si="19"/>
        <v>32.17331233</v>
      </c>
      <c r="AO12" s="26">
        <v>727172.0</v>
      </c>
      <c r="AP12" s="31">
        <f t="shared" si="20"/>
        <v>31.75401395</v>
      </c>
      <c r="AQ12" s="26">
        <v>343301.0</v>
      </c>
      <c r="AR12" s="31">
        <f t="shared" si="21"/>
        <v>14.9912053</v>
      </c>
      <c r="AS12" s="26">
        <v>191398.0</v>
      </c>
      <c r="AT12" s="31">
        <f t="shared" si="22"/>
        <v>8.35793287</v>
      </c>
      <c r="AU12" s="58"/>
      <c r="AV12" s="58"/>
      <c r="AW12" s="58"/>
      <c r="AX12" s="58"/>
      <c r="AY12" s="58"/>
      <c r="AZ12" s="58"/>
      <c r="BA12" s="58"/>
      <c r="BB12" s="58"/>
      <c r="BC12" s="58"/>
    </row>
    <row r="13">
      <c r="A13" s="25" t="s">
        <v>46</v>
      </c>
      <c r="B13" s="26">
        <v>7926396.0</v>
      </c>
      <c r="C13" s="26">
        <v>3208000.0</v>
      </c>
      <c r="D13" s="31">
        <f t="shared" si="1"/>
        <v>40.472366</v>
      </c>
      <c r="E13" s="26">
        <v>1248075.0</v>
      </c>
      <c r="F13" s="31">
        <f t="shared" si="2"/>
        <v>15.7458068</v>
      </c>
      <c r="G13" s="26">
        <v>1353001.0</v>
      </c>
      <c r="H13" s="31">
        <f t="shared" si="3"/>
        <v>17.069561</v>
      </c>
      <c r="I13" s="26">
        <v>492426.0</v>
      </c>
      <c r="J13" s="31">
        <f t="shared" si="4"/>
        <v>6.212482949</v>
      </c>
      <c r="K13" s="26">
        <v>2405742.0</v>
      </c>
      <c r="L13" s="31">
        <f t="shared" si="5"/>
        <v>30.35101956</v>
      </c>
      <c r="M13" s="26">
        <v>598238.0</v>
      </c>
      <c r="N13" s="31">
        <f t="shared" si="6"/>
        <v>7.547414992</v>
      </c>
      <c r="O13" s="26">
        <v>3409092.0</v>
      </c>
      <c r="P13" s="31">
        <f t="shared" si="7"/>
        <v>43.00935759</v>
      </c>
      <c r="Q13" s="26">
        <v>7353767.0</v>
      </c>
      <c r="R13" s="31">
        <f t="shared" si="8"/>
        <v>92.77567005</v>
      </c>
      <c r="S13" s="26">
        <v>7006467.0</v>
      </c>
      <c r="T13" s="31">
        <f t="shared" si="9"/>
        <v>88.39410749</v>
      </c>
      <c r="U13" s="26">
        <v>369702.0</v>
      </c>
      <c r="V13" s="31">
        <f t="shared" si="10"/>
        <v>4.66418786</v>
      </c>
      <c r="W13" s="26">
        <v>558466.0</v>
      </c>
      <c r="X13" s="31">
        <f t="shared" si="11"/>
        <v>7.045648489</v>
      </c>
      <c r="Y13" s="26">
        <v>706561.0</v>
      </c>
      <c r="Z13" s="31">
        <f t="shared" si="12"/>
        <v>8.914025996</v>
      </c>
      <c r="AA13" s="26">
        <v>808822.0</v>
      </c>
      <c r="AB13" s="31">
        <f t="shared" si="13"/>
        <v>10.20415836</v>
      </c>
      <c r="AC13" s="26">
        <v>473234.0</v>
      </c>
      <c r="AD13" s="31">
        <f t="shared" si="14"/>
        <v>5.970355254</v>
      </c>
      <c r="AE13" s="26">
        <v>293262.0</v>
      </c>
      <c r="AF13" s="31">
        <f t="shared" si="15"/>
        <v>3.699815149</v>
      </c>
      <c r="AG13" s="26">
        <v>946138.0</v>
      </c>
      <c r="AH13" s="31">
        <f t="shared" si="16"/>
        <v>11.9365472</v>
      </c>
      <c r="AI13" s="26">
        <v>2001021.0</v>
      </c>
      <c r="AJ13" s="31">
        <f t="shared" si="17"/>
        <v>25.24502939</v>
      </c>
      <c r="AK13" s="26">
        <v>4804780.0</v>
      </c>
      <c r="AL13" s="31">
        <f t="shared" si="18"/>
        <v>60.61746095</v>
      </c>
      <c r="AM13" s="26">
        <v>2830556.0</v>
      </c>
      <c r="AN13" s="31">
        <f t="shared" si="19"/>
        <v>35.7105045</v>
      </c>
      <c r="AO13" s="26">
        <v>2320631.0</v>
      </c>
      <c r="AP13" s="31">
        <f t="shared" si="20"/>
        <v>29.27725286</v>
      </c>
      <c r="AQ13" s="26">
        <v>1160203.0</v>
      </c>
      <c r="AR13" s="31">
        <f t="shared" si="21"/>
        <v>14.63720712</v>
      </c>
      <c r="AS13" s="26">
        <v>602571.0</v>
      </c>
      <c r="AT13" s="31">
        <f t="shared" si="22"/>
        <v>7.602080441</v>
      </c>
      <c r="AU13" s="58"/>
      <c r="AV13" s="58"/>
      <c r="AW13" s="58"/>
      <c r="AX13" s="58"/>
      <c r="AY13" s="58"/>
      <c r="AZ13" s="58"/>
      <c r="BA13" s="58"/>
      <c r="BB13" s="58"/>
      <c r="BC13" s="58"/>
    </row>
    <row r="14">
      <c r="A14" s="25" t="s">
        <v>48</v>
      </c>
      <c r="B14" s="26">
        <v>9979157.0</v>
      </c>
      <c r="C14" s="26">
        <v>4094887.0</v>
      </c>
      <c r="D14" s="31">
        <f t="shared" si="1"/>
        <v>41.034398</v>
      </c>
      <c r="E14" s="26">
        <v>2066770.0</v>
      </c>
      <c r="F14" s="31">
        <f t="shared" si="2"/>
        <v>20.71086766</v>
      </c>
      <c r="G14" s="26">
        <v>1937095.0</v>
      </c>
      <c r="H14" s="31">
        <f t="shared" si="3"/>
        <v>19.4114092</v>
      </c>
      <c r="I14" s="26">
        <v>916388.0</v>
      </c>
      <c r="J14" s="31">
        <f t="shared" si="4"/>
        <v>9.183020169</v>
      </c>
      <c r="K14" s="26">
        <v>2625838.0</v>
      </c>
      <c r="L14" s="31">
        <f t="shared" si="5"/>
        <v>26.31322465</v>
      </c>
      <c r="M14" s="26">
        <v>1092175.0</v>
      </c>
      <c r="N14" s="31">
        <f t="shared" si="6"/>
        <v>10.94456175</v>
      </c>
      <c r="O14" s="26">
        <v>4737034.0</v>
      </c>
      <c r="P14" s="31">
        <f t="shared" si="7"/>
        <v>47.46928022</v>
      </c>
      <c r="Q14" s="26">
        <v>9696983.0</v>
      </c>
      <c r="R14" s="31">
        <f t="shared" si="8"/>
        <v>97.17236636</v>
      </c>
      <c r="S14" s="26">
        <v>8786018.0</v>
      </c>
      <c r="T14" s="31">
        <f t="shared" si="9"/>
        <v>88.04368946</v>
      </c>
      <c r="U14" s="26">
        <v>535718.0</v>
      </c>
      <c r="V14" s="31">
        <f t="shared" si="10"/>
        <v>5.368369292</v>
      </c>
      <c r="W14" s="26">
        <v>1172719.0</v>
      </c>
      <c r="X14" s="31">
        <f t="shared" si="11"/>
        <v>11.75168404</v>
      </c>
      <c r="Y14" s="26">
        <v>953316.0</v>
      </c>
      <c r="Z14" s="31">
        <f t="shared" si="12"/>
        <v>9.553071467</v>
      </c>
      <c r="AA14" s="26">
        <v>1157342.0</v>
      </c>
      <c r="AB14" s="31">
        <f t="shared" si="13"/>
        <v>11.59759286</v>
      </c>
      <c r="AC14" s="26">
        <v>819686.0</v>
      </c>
      <c r="AD14" s="31">
        <f t="shared" si="14"/>
        <v>8.213980399</v>
      </c>
      <c r="AE14" s="26">
        <v>609856.0</v>
      </c>
      <c r="AF14" s="31">
        <f t="shared" si="15"/>
        <v>6.111297778</v>
      </c>
      <c r="AG14" s="26">
        <v>843787.0</v>
      </c>
      <c r="AH14" s="31">
        <f t="shared" si="16"/>
        <v>8.455493786</v>
      </c>
      <c r="AI14" s="26">
        <v>2094178.0</v>
      </c>
      <c r="AJ14" s="31">
        <f t="shared" si="17"/>
        <v>20.98552012</v>
      </c>
      <c r="AK14" s="26">
        <v>7209792.0</v>
      </c>
      <c r="AL14" s="31">
        <f t="shared" si="18"/>
        <v>72.24850756</v>
      </c>
      <c r="AM14" s="26">
        <v>3538638.0</v>
      </c>
      <c r="AN14" s="31">
        <f t="shared" si="19"/>
        <v>35.46028988</v>
      </c>
      <c r="AO14" s="26">
        <v>3671611.0</v>
      </c>
      <c r="AP14" s="31">
        <f t="shared" si="20"/>
        <v>36.79279723</v>
      </c>
      <c r="AQ14" s="26">
        <v>1751389.0</v>
      </c>
      <c r="AR14" s="31">
        <f t="shared" si="21"/>
        <v>17.55047045</v>
      </c>
      <c r="AS14" s="26">
        <v>1051771.0</v>
      </c>
      <c r="AT14" s="31">
        <f t="shared" si="22"/>
        <v>10.53967785</v>
      </c>
      <c r="AU14" s="58"/>
      <c r="AV14" s="58"/>
      <c r="AW14" s="58"/>
      <c r="AX14" s="58"/>
      <c r="AY14" s="58"/>
      <c r="AZ14" s="58"/>
      <c r="BA14" s="58"/>
      <c r="BB14" s="58"/>
      <c r="BC14" s="58"/>
    </row>
    <row r="15">
      <c r="A15" s="25" t="s">
        <v>50</v>
      </c>
      <c r="B15" s="26">
        <v>1614249.0</v>
      </c>
      <c r="C15" s="26">
        <v>580738.0</v>
      </c>
      <c r="D15" s="31">
        <f t="shared" si="1"/>
        <v>35.97573856</v>
      </c>
      <c r="E15" s="26">
        <v>355764.0</v>
      </c>
      <c r="F15" s="31">
        <f t="shared" si="2"/>
        <v>22.03897912</v>
      </c>
      <c r="G15" s="26">
        <v>288541.0</v>
      </c>
      <c r="H15" s="31">
        <f t="shared" si="3"/>
        <v>17.87462777</v>
      </c>
      <c r="I15" s="26">
        <v>121415.0</v>
      </c>
      <c r="J15" s="31">
        <f t="shared" si="4"/>
        <v>7.521454249</v>
      </c>
      <c r="K15" s="26">
        <v>632666.0</v>
      </c>
      <c r="L15" s="31">
        <f t="shared" si="5"/>
        <v>39.19259049</v>
      </c>
      <c r="M15" s="26">
        <v>101977.0</v>
      </c>
      <c r="N15" s="31">
        <f t="shared" si="6"/>
        <v>6.317302969</v>
      </c>
      <c r="O15" s="26">
        <v>598528.0</v>
      </c>
      <c r="P15" s="31">
        <f t="shared" si="7"/>
        <v>37.07779903</v>
      </c>
      <c r="Q15" s="26">
        <v>1537362.0</v>
      </c>
      <c r="R15" s="31">
        <f t="shared" si="8"/>
        <v>95.23698017</v>
      </c>
      <c r="S15" s="26">
        <v>1487543.0</v>
      </c>
      <c r="T15" s="31">
        <f t="shared" si="9"/>
        <v>92.15077723</v>
      </c>
      <c r="U15" s="26">
        <v>57826.0</v>
      </c>
      <c r="V15" s="31">
        <f t="shared" si="10"/>
        <v>3.582223065</v>
      </c>
      <c r="W15" s="26">
        <v>105066.0</v>
      </c>
      <c r="X15" s="31">
        <f t="shared" si="11"/>
        <v>6.508661303</v>
      </c>
      <c r="Y15" s="26">
        <v>95414.0</v>
      </c>
      <c r="Z15" s="31">
        <f t="shared" si="12"/>
        <v>5.9107362</v>
      </c>
      <c r="AA15" s="26">
        <v>146211.0</v>
      </c>
      <c r="AB15" s="31">
        <f t="shared" si="13"/>
        <v>9.057524583</v>
      </c>
      <c r="AC15" s="26">
        <v>82223.0</v>
      </c>
      <c r="AD15" s="31">
        <f t="shared" si="14"/>
        <v>5.093576022</v>
      </c>
      <c r="AE15" s="26">
        <v>49589.0</v>
      </c>
      <c r="AF15" s="31">
        <f t="shared" si="15"/>
        <v>3.071954822</v>
      </c>
      <c r="AG15" s="26">
        <v>26249.0</v>
      </c>
      <c r="AH15" s="31">
        <f t="shared" si="16"/>
        <v>1.62608123</v>
      </c>
      <c r="AI15" s="26">
        <v>104105.0</v>
      </c>
      <c r="AJ15" s="31">
        <f t="shared" si="17"/>
        <v>6.449128976</v>
      </c>
      <c r="AK15" s="26">
        <v>868330.0</v>
      </c>
      <c r="AL15" s="31">
        <f t="shared" si="18"/>
        <v>53.79157738</v>
      </c>
      <c r="AM15" s="26">
        <v>518930.0</v>
      </c>
      <c r="AN15" s="31">
        <f t="shared" si="19"/>
        <v>32.14683732</v>
      </c>
      <c r="AO15" s="26">
        <v>493244.0</v>
      </c>
      <c r="AP15" s="31">
        <f t="shared" si="20"/>
        <v>30.55563299</v>
      </c>
      <c r="AQ15" s="26">
        <v>147769.0</v>
      </c>
      <c r="AR15" s="31">
        <f t="shared" si="21"/>
        <v>9.154040052</v>
      </c>
      <c r="AS15" s="26">
        <v>105664.0</v>
      </c>
      <c r="AT15" s="31">
        <f t="shared" si="22"/>
        <v>6.545706393</v>
      </c>
      <c r="AU15" s="58"/>
      <c r="AV15" s="58"/>
      <c r="AW15" s="58"/>
      <c r="AX15" s="58"/>
      <c r="AY15" s="58"/>
      <c r="AZ15" s="58"/>
      <c r="BA15" s="58"/>
      <c r="BB15" s="58"/>
      <c r="BC15" s="58"/>
    </row>
    <row r="16">
      <c r="A16" s="25" t="s">
        <v>51</v>
      </c>
      <c r="B16" s="26">
        <v>3094742.0</v>
      </c>
      <c r="C16" s="26">
        <v>1170767.0</v>
      </c>
      <c r="D16" s="31">
        <f t="shared" si="1"/>
        <v>37.83084341</v>
      </c>
      <c r="E16" s="26">
        <v>703174.0</v>
      </c>
      <c r="F16" s="31">
        <f t="shared" si="2"/>
        <v>22.72157097</v>
      </c>
      <c r="G16" s="26">
        <v>701323.0</v>
      </c>
      <c r="H16" s="31">
        <f t="shared" si="3"/>
        <v>22.66175985</v>
      </c>
      <c r="I16" s="26">
        <v>198115.0</v>
      </c>
      <c r="J16" s="31">
        <f t="shared" si="4"/>
        <v>6.401664501</v>
      </c>
      <c r="K16" s="26">
        <v>962474.0</v>
      </c>
      <c r="L16" s="31">
        <f t="shared" si="5"/>
        <v>31.10029851</v>
      </c>
      <c r="M16" s="26">
        <v>270402.0</v>
      </c>
      <c r="N16" s="31">
        <f t="shared" si="6"/>
        <v>8.737465029</v>
      </c>
      <c r="O16" s="26">
        <v>809402.0</v>
      </c>
      <c r="P16" s="31">
        <f t="shared" si="7"/>
        <v>26.15410267</v>
      </c>
      <c r="Q16" s="26">
        <v>2941618.0</v>
      </c>
      <c r="R16" s="31">
        <f t="shared" si="8"/>
        <v>95.05212389</v>
      </c>
      <c r="S16" s="26">
        <v>2597035.0</v>
      </c>
      <c r="T16" s="31">
        <f t="shared" si="9"/>
        <v>83.91765776</v>
      </c>
      <c r="U16" s="26">
        <v>123062.0</v>
      </c>
      <c r="V16" s="31">
        <f t="shared" si="10"/>
        <v>3.97648657</v>
      </c>
      <c r="W16" s="26">
        <v>285851.0</v>
      </c>
      <c r="X16" s="31">
        <f t="shared" si="11"/>
        <v>9.236666578</v>
      </c>
      <c r="Y16" s="26">
        <v>238979.0</v>
      </c>
      <c r="Z16" s="31">
        <f t="shared" si="12"/>
        <v>7.722097674</v>
      </c>
      <c r="AA16" s="26">
        <v>454764.0</v>
      </c>
      <c r="AB16" s="31">
        <f t="shared" si="13"/>
        <v>14.69473061</v>
      </c>
      <c r="AC16" s="26">
        <v>138925.0</v>
      </c>
      <c r="AD16" s="31">
        <f t="shared" si="14"/>
        <v>4.489065647</v>
      </c>
      <c r="AE16" s="26">
        <v>93094.0</v>
      </c>
      <c r="AF16" s="31">
        <f t="shared" si="15"/>
        <v>3.008134442</v>
      </c>
      <c r="AG16" s="26">
        <v>153648.0</v>
      </c>
      <c r="AH16" s="31">
        <f t="shared" si="16"/>
        <v>4.964808052</v>
      </c>
      <c r="AI16" s="26">
        <v>313163.0</v>
      </c>
      <c r="AJ16" s="31">
        <f t="shared" si="17"/>
        <v>10.11919572</v>
      </c>
      <c r="AK16" s="26">
        <v>1956463.0</v>
      </c>
      <c r="AL16" s="31">
        <f t="shared" si="18"/>
        <v>63.21893715</v>
      </c>
      <c r="AM16" s="26">
        <v>972212.0</v>
      </c>
      <c r="AN16" s="31">
        <f t="shared" si="19"/>
        <v>31.41496125</v>
      </c>
      <c r="AO16" s="26">
        <v>777832.0</v>
      </c>
      <c r="AP16" s="31">
        <f t="shared" si="20"/>
        <v>25.13398532</v>
      </c>
      <c r="AQ16" s="26">
        <v>456530.0</v>
      </c>
      <c r="AR16" s="31">
        <f t="shared" si="21"/>
        <v>14.75179514</v>
      </c>
      <c r="AS16" s="26">
        <v>300423.0</v>
      </c>
      <c r="AT16" s="31">
        <f t="shared" si="22"/>
        <v>9.707529739</v>
      </c>
      <c r="AU16" s="58"/>
      <c r="AV16" s="58"/>
      <c r="AW16" s="58"/>
      <c r="AX16" s="58"/>
      <c r="AY16" s="58"/>
      <c r="AZ16" s="58"/>
      <c r="BA16" s="58"/>
      <c r="BB16" s="58"/>
      <c r="BC16" s="58"/>
    </row>
    <row r="17">
      <c r="A17" s="25" t="s">
        <v>53</v>
      </c>
      <c r="B17" s="26">
        <v>4053706.0</v>
      </c>
      <c r="C17" s="26">
        <v>1804537.0</v>
      </c>
      <c r="D17" s="31">
        <f t="shared" si="1"/>
        <v>44.51573449</v>
      </c>
      <c r="E17" s="26">
        <v>783956.0</v>
      </c>
      <c r="F17" s="31">
        <f t="shared" si="2"/>
        <v>19.33924167</v>
      </c>
      <c r="G17" s="26">
        <v>848469.0</v>
      </c>
      <c r="H17" s="31">
        <f t="shared" si="3"/>
        <v>20.93069897</v>
      </c>
      <c r="I17" s="26">
        <v>356055.0</v>
      </c>
      <c r="J17" s="31">
        <f t="shared" si="4"/>
        <v>8.783444088</v>
      </c>
      <c r="K17" s="26">
        <v>767352.0</v>
      </c>
      <c r="L17" s="31">
        <f t="shared" si="5"/>
        <v>18.92964117</v>
      </c>
      <c r="M17" s="26">
        <v>313555.0</v>
      </c>
      <c r="N17" s="31">
        <f t="shared" si="6"/>
        <v>7.735020744</v>
      </c>
      <c r="O17" s="26">
        <v>1752868.0</v>
      </c>
      <c r="P17" s="31">
        <f t="shared" si="7"/>
        <v>43.24112306</v>
      </c>
      <c r="Q17" s="26">
        <v>3682647.0</v>
      </c>
      <c r="R17" s="31">
        <f t="shared" si="8"/>
        <v>90.84642547</v>
      </c>
      <c r="S17" s="26">
        <v>3704784.0</v>
      </c>
      <c r="T17" s="31">
        <f t="shared" si="9"/>
        <v>91.39251835</v>
      </c>
      <c r="U17" s="26">
        <v>222874.0</v>
      </c>
      <c r="V17" s="31">
        <f t="shared" si="10"/>
        <v>5.498030691</v>
      </c>
      <c r="W17" s="26">
        <v>331386.0</v>
      </c>
      <c r="X17" s="31">
        <f t="shared" si="11"/>
        <v>8.174889842</v>
      </c>
      <c r="Y17" s="26">
        <v>369086.0</v>
      </c>
      <c r="Z17" s="31">
        <f t="shared" si="12"/>
        <v>9.10490302</v>
      </c>
      <c r="AA17" s="26">
        <v>448352.0</v>
      </c>
      <c r="AB17" s="31">
        <f t="shared" si="13"/>
        <v>11.0602989</v>
      </c>
      <c r="AC17" s="26">
        <v>287493.0</v>
      </c>
      <c r="AD17" s="31">
        <f t="shared" si="14"/>
        <v>7.092102881</v>
      </c>
      <c r="AE17" s="26">
        <v>200191.0</v>
      </c>
      <c r="AF17" s="31">
        <f t="shared" si="15"/>
        <v>4.938468651</v>
      </c>
      <c r="AG17" s="26">
        <v>355669.0</v>
      </c>
      <c r="AH17" s="31">
        <f t="shared" si="16"/>
        <v>8.773921937</v>
      </c>
      <c r="AI17" s="26">
        <v>559176.0</v>
      </c>
      <c r="AJ17" s="31">
        <f t="shared" si="17"/>
        <v>13.79419228</v>
      </c>
      <c r="AK17" s="26">
        <v>2595104.0</v>
      </c>
      <c r="AL17" s="31">
        <f t="shared" si="18"/>
        <v>64.0180615</v>
      </c>
      <c r="AM17" s="26">
        <v>1183723.0</v>
      </c>
      <c r="AN17" s="31">
        <f t="shared" si="19"/>
        <v>29.20100767</v>
      </c>
      <c r="AO17" s="26">
        <v>1326304.0</v>
      </c>
      <c r="AP17" s="31">
        <f t="shared" si="20"/>
        <v>32.71830764</v>
      </c>
      <c r="AQ17" s="26">
        <v>650711.0</v>
      </c>
      <c r="AR17" s="31">
        <f t="shared" si="21"/>
        <v>16.05224947</v>
      </c>
      <c r="AS17" s="26">
        <v>216293.0</v>
      </c>
      <c r="AT17" s="31">
        <f t="shared" si="22"/>
        <v>5.33568542</v>
      </c>
      <c r="AU17" s="58"/>
      <c r="AV17" s="58"/>
      <c r="AW17" s="58"/>
      <c r="AX17" s="58"/>
      <c r="AY17" s="58"/>
      <c r="AZ17" s="58"/>
      <c r="BA17" s="58"/>
      <c r="BB17" s="58"/>
      <c r="BC17" s="58"/>
    </row>
    <row r="18">
      <c r="A18" s="25" t="s">
        <v>54</v>
      </c>
      <c r="B18" s="26">
        <v>4522717.0</v>
      </c>
      <c r="C18" s="26">
        <v>1768056.0</v>
      </c>
      <c r="D18" s="31">
        <f t="shared" si="1"/>
        <v>39.09278427</v>
      </c>
      <c r="E18" s="26">
        <v>802714.0</v>
      </c>
      <c r="F18" s="31">
        <f t="shared" si="2"/>
        <v>17.74849056</v>
      </c>
      <c r="G18" s="26">
        <v>951638.0</v>
      </c>
      <c r="H18" s="31">
        <f t="shared" si="3"/>
        <v>21.04129</v>
      </c>
      <c r="I18" s="26">
        <v>519429.0</v>
      </c>
      <c r="J18" s="31">
        <f t="shared" si="4"/>
        <v>11.4848884</v>
      </c>
      <c r="K18" s="26">
        <v>1397031.0</v>
      </c>
      <c r="L18" s="31">
        <f t="shared" si="5"/>
        <v>30.8891978</v>
      </c>
      <c r="M18" s="26">
        <v>421087.0</v>
      </c>
      <c r="N18" s="31">
        <f t="shared" si="6"/>
        <v>9.310487479</v>
      </c>
      <c r="O18" s="26">
        <v>1950223.0</v>
      </c>
      <c r="P18" s="31">
        <f t="shared" si="7"/>
        <v>43.12060648</v>
      </c>
      <c r="Q18" s="26">
        <v>4318560.0</v>
      </c>
      <c r="R18" s="31">
        <f t="shared" si="8"/>
        <v>95.48596563</v>
      </c>
      <c r="S18" s="26">
        <v>3926422.0</v>
      </c>
      <c r="T18" s="31">
        <f t="shared" si="9"/>
        <v>86.81555799</v>
      </c>
      <c r="U18" s="26">
        <v>274107.0</v>
      </c>
      <c r="V18" s="31">
        <f t="shared" si="10"/>
        <v>6.060671052</v>
      </c>
      <c r="W18" s="26">
        <v>441765.0</v>
      </c>
      <c r="X18" s="31">
        <f t="shared" si="11"/>
        <v>9.767690528</v>
      </c>
      <c r="Y18" s="26">
        <v>311284.0</v>
      </c>
      <c r="Z18" s="31">
        <f t="shared" si="12"/>
        <v>6.88267694</v>
      </c>
      <c r="AA18" s="26">
        <v>756748.0</v>
      </c>
      <c r="AB18" s="31">
        <f t="shared" si="13"/>
        <v>16.73215459</v>
      </c>
      <c r="AC18" s="26">
        <v>336395.0</v>
      </c>
      <c r="AD18" s="31">
        <f t="shared" si="14"/>
        <v>7.437896291</v>
      </c>
      <c r="AE18" s="26">
        <v>234367.0</v>
      </c>
      <c r="AF18" s="31">
        <f t="shared" si="15"/>
        <v>5.18199569</v>
      </c>
      <c r="AG18" s="26">
        <v>666167.0</v>
      </c>
      <c r="AH18" s="31">
        <f t="shared" si="16"/>
        <v>14.72935406</v>
      </c>
      <c r="AI18" s="26">
        <v>1259780.0</v>
      </c>
      <c r="AJ18" s="31">
        <f t="shared" si="17"/>
        <v>27.85449543</v>
      </c>
      <c r="AK18" s="26">
        <v>2924632.0</v>
      </c>
      <c r="AL18" s="31">
        <f t="shared" si="18"/>
        <v>64.66537703</v>
      </c>
      <c r="AM18" s="26">
        <v>1671885.0</v>
      </c>
      <c r="AN18" s="31">
        <f t="shared" si="19"/>
        <v>36.96638547</v>
      </c>
      <c r="AO18" s="26">
        <v>1740696.0</v>
      </c>
      <c r="AP18" s="31">
        <f t="shared" si="20"/>
        <v>38.48783817</v>
      </c>
      <c r="AQ18" s="26">
        <v>941937.0</v>
      </c>
      <c r="AR18" s="31">
        <f t="shared" si="21"/>
        <v>20.82679504</v>
      </c>
      <c r="AS18" s="26">
        <v>436723.0</v>
      </c>
      <c r="AT18" s="31">
        <f t="shared" si="22"/>
        <v>9.656208867</v>
      </c>
      <c r="AU18" s="58"/>
      <c r="AV18" s="58"/>
      <c r="AW18" s="58"/>
      <c r="AX18" s="58"/>
      <c r="AY18" s="58"/>
      <c r="AZ18" s="58"/>
      <c r="BA18" s="58"/>
      <c r="BB18" s="58"/>
      <c r="BC18" s="58"/>
    </row>
    <row r="19">
      <c r="A19" s="25" t="s">
        <v>56</v>
      </c>
      <c r="B19" s="26">
        <v>2570726.0</v>
      </c>
      <c r="C19" s="26">
        <v>671360.0</v>
      </c>
      <c r="D19" s="31">
        <f t="shared" si="1"/>
        <v>26.1155798</v>
      </c>
      <c r="E19" s="26">
        <v>481197.0</v>
      </c>
      <c r="F19" s="31">
        <f t="shared" si="2"/>
        <v>18.71833093</v>
      </c>
      <c r="G19" s="26">
        <v>442832.0</v>
      </c>
      <c r="H19" s="31">
        <f t="shared" si="3"/>
        <v>17.22595096</v>
      </c>
      <c r="I19" s="26">
        <v>213785.0</v>
      </c>
      <c r="J19" s="31">
        <f t="shared" si="4"/>
        <v>8.316133264</v>
      </c>
      <c r="K19" s="26">
        <v>636508.0</v>
      </c>
      <c r="L19" s="31">
        <f t="shared" si="5"/>
        <v>24.75985383</v>
      </c>
      <c r="M19" s="26">
        <v>192264.0</v>
      </c>
      <c r="N19" s="31">
        <f t="shared" si="6"/>
        <v>7.478976756</v>
      </c>
      <c r="O19" s="26">
        <v>816886.0</v>
      </c>
      <c r="P19" s="31">
        <f t="shared" si="7"/>
        <v>31.77647093</v>
      </c>
      <c r="Q19" s="26">
        <v>2324601.0</v>
      </c>
      <c r="R19" s="31">
        <f t="shared" si="8"/>
        <v>90.42585635</v>
      </c>
      <c r="S19" s="26">
        <v>2252737.0</v>
      </c>
      <c r="T19" s="31">
        <f t="shared" si="9"/>
        <v>87.63038146</v>
      </c>
      <c r="U19" s="26">
        <v>102581.0</v>
      </c>
      <c r="V19" s="31">
        <f t="shared" si="10"/>
        <v>3.990351364</v>
      </c>
      <c r="W19" s="26">
        <v>211232.0</v>
      </c>
      <c r="X19" s="31">
        <f t="shared" si="11"/>
        <v>8.216822796</v>
      </c>
      <c r="Y19" s="26">
        <v>180816.0</v>
      </c>
      <c r="Z19" s="31">
        <f t="shared" si="12"/>
        <v>7.033655084</v>
      </c>
      <c r="AA19" s="26">
        <v>286394.0</v>
      </c>
      <c r="AB19" s="31">
        <f t="shared" si="13"/>
        <v>11.1405883</v>
      </c>
      <c r="AC19" s="26">
        <v>131877.0</v>
      </c>
      <c r="AD19" s="31">
        <f t="shared" si="14"/>
        <v>5.129951617</v>
      </c>
      <c r="AE19" s="26">
        <v>90107.0</v>
      </c>
      <c r="AF19" s="31">
        <f t="shared" si="15"/>
        <v>3.505118787</v>
      </c>
      <c r="AG19" s="26">
        <v>113770.0</v>
      </c>
      <c r="AH19" s="31">
        <f t="shared" si="16"/>
        <v>4.425598061</v>
      </c>
      <c r="AI19" s="26">
        <v>459240.0</v>
      </c>
      <c r="AJ19" s="31">
        <f t="shared" si="17"/>
        <v>17.86421423</v>
      </c>
      <c r="AK19" s="26">
        <v>1653699.0</v>
      </c>
      <c r="AL19" s="31">
        <f t="shared" si="18"/>
        <v>64.32809253</v>
      </c>
      <c r="AM19" s="26">
        <v>687613.0</v>
      </c>
      <c r="AN19" s="31">
        <f t="shared" si="19"/>
        <v>26.74781365</v>
      </c>
      <c r="AO19" s="26">
        <v>688193.0</v>
      </c>
      <c r="AP19" s="31">
        <f t="shared" si="20"/>
        <v>26.77037537</v>
      </c>
      <c r="AQ19" s="26">
        <v>283694.0</v>
      </c>
      <c r="AR19" s="31">
        <f t="shared" si="21"/>
        <v>11.0355596</v>
      </c>
      <c r="AS19" s="26">
        <v>194830.0</v>
      </c>
      <c r="AT19" s="31">
        <f t="shared" si="22"/>
        <v>7.578792917</v>
      </c>
      <c r="AU19" s="58"/>
      <c r="AV19" s="58"/>
      <c r="AW19" s="58"/>
      <c r="AX19" s="58"/>
      <c r="AY19" s="58"/>
      <c r="AZ19" s="58"/>
      <c r="BA19" s="58"/>
      <c r="BB19" s="58"/>
      <c r="BC19" s="58"/>
    </row>
    <row r="20">
      <c r="A20" s="25" t="s">
        <v>57</v>
      </c>
      <c r="B20" s="26">
        <v>1519753.0</v>
      </c>
      <c r="C20" s="26">
        <v>560664.0</v>
      </c>
      <c r="D20" s="31">
        <f t="shared" si="1"/>
        <v>36.89178439</v>
      </c>
      <c r="E20" s="26">
        <v>196757.0</v>
      </c>
      <c r="F20" s="31">
        <f t="shared" si="2"/>
        <v>12.9466433</v>
      </c>
      <c r="G20" s="26">
        <v>239931.0</v>
      </c>
      <c r="H20" s="31">
        <f t="shared" si="3"/>
        <v>15.78749968</v>
      </c>
      <c r="I20" s="26">
        <v>102874.0</v>
      </c>
      <c r="J20" s="31">
        <f t="shared" si="4"/>
        <v>6.769126299</v>
      </c>
      <c r="K20" s="26">
        <v>286703.0</v>
      </c>
      <c r="L20" s="31">
        <f t="shared" si="5"/>
        <v>18.86510505</v>
      </c>
      <c r="M20" s="26">
        <v>116914.0</v>
      </c>
      <c r="N20" s="31">
        <f t="shared" si="6"/>
        <v>7.692960632</v>
      </c>
      <c r="O20" s="26">
        <v>649531.0</v>
      </c>
      <c r="P20" s="31">
        <f t="shared" si="7"/>
        <v>42.73924776</v>
      </c>
      <c r="Q20" s="26">
        <v>1400875.0</v>
      </c>
      <c r="R20" s="31">
        <f t="shared" si="8"/>
        <v>92.17780784</v>
      </c>
      <c r="S20" s="26">
        <v>1367369.0</v>
      </c>
      <c r="T20" s="31">
        <f t="shared" si="9"/>
        <v>89.97310747</v>
      </c>
      <c r="U20" s="26">
        <v>39974.0</v>
      </c>
      <c r="V20" s="31">
        <f t="shared" si="10"/>
        <v>2.630295844</v>
      </c>
      <c r="W20" s="26">
        <v>103978.0</v>
      </c>
      <c r="X20" s="31">
        <f t="shared" si="11"/>
        <v>6.841769682</v>
      </c>
      <c r="Y20" s="26">
        <v>112134.0</v>
      </c>
      <c r="Z20" s="31">
        <f t="shared" si="12"/>
        <v>7.378435838</v>
      </c>
      <c r="AA20" s="26">
        <v>155478.0</v>
      </c>
      <c r="AB20" s="31">
        <f t="shared" si="13"/>
        <v>10.23047824</v>
      </c>
      <c r="AC20" s="26">
        <v>111709.0</v>
      </c>
      <c r="AD20" s="31">
        <f t="shared" si="14"/>
        <v>7.350470767</v>
      </c>
      <c r="AE20" s="26">
        <v>76943.0</v>
      </c>
      <c r="AF20" s="31">
        <f t="shared" si="15"/>
        <v>5.062862189</v>
      </c>
      <c r="AG20" s="26">
        <v>51531.0</v>
      </c>
      <c r="AH20" s="31">
        <f t="shared" si="16"/>
        <v>3.390748365</v>
      </c>
      <c r="AI20" s="26">
        <v>268485.0</v>
      </c>
      <c r="AJ20" s="31">
        <f t="shared" si="17"/>
        <v>17.66635763</v>
      </c>
      <c r="AK20" s="26">
        <v>923039.0</v>
      </c>
      <c r="AL20" s="31">
        <f t="shared" si="18"/>
        <v>60.73611962</v>
      </c>
      <c r="AM20" s="26">
        <v>364325.0</v>
      </c>
      <c r="AN20" s="31">
        <f t="shared" si="19"/>
        <v>23.97264555</v>
      </c>
      <c r="AO20" s="26">
        <v>470776.0</v>
      </c>
      <c r="AP20" s="31">
        <f t="shared" si="20"/>
        <v>30.97713905</v>
      </c>
      <c r="AQ20" s="26">
        <v>342699.0</v>
      </c>
      <c r="AR20" s="31">
        <f t="shared" si="21"/>
        <v>22.54965116</v>
      </c>
      <c r="AS20" s="26">
        <v>36420.0</v>
      </c>
      <c r="AT20" s="31">
        <f t="shared" si="22"/>
        <v>2.396442053</v>
      </c>
      <c r="AU20" s="58"/>
      <c r="AV20" s="58"/>
      <c r="AW20" s="58"/>
      <c r="AX20" s="58"/>
      <c r="AY20" s="58"/>
      <c r="AZ20" s="58"/>
      <c r="BA20" s="58"/>
      <c r="BB20" s="58"/>
      <c r="BC20" s="58"/>
    </row>
    <row r="21" ht="15.75" customHeight="1">
      <c r="A21" s="25" t="s">
        <v>59</v>
      </c>
      <c r="B21" s="26">
        <v>2562942.0</v>
      </c>
      <c r="C21" s="26">
        <v>1171828.0</v>
      </c>
      <c r="D21" s="31">
        <f t="shared" si="1"/>
        <v>45.72198669</v>
      </c>
      <c r="E21" s="26">
        <v>561521.0</v>
      </c>
      <c r="F21" s="31">
        <f t="shared" si="2"/>
        <v>21.90923556</v>
      </c>
      <c r="G21" s="26">
        <v>564928.0</v>
      </c>
      <c r="H21" s="31">
        <f t="shared" si="3"/>
        <v>22.04216873</v>
      </c>
      <c r="I21" s="26">
        <v>197367.0</v>
      </c>
      <c r="J21" s="31">
        <f t="shared" si="4"/>
        <v>7.700798535</v>
      </c>
      <c r="K21" s="26">
        <v>880286.0</v>
      </c>
      <c r="L21" s="31">
        <f t="shared" si="5"/>
        <v>34.3467</v>
      </c>
      <c r="M21" s="26">
        <v>190310.0</v>
      </c>
      <c r="N21" s="31">
        <f t="shared" si="6"/>
        <v>7.425450908</v>
      </c>
      <c r="O21" s="26">
        <v>1171204.0</v>
      </c>
      <c r="P21" s="31">
        <f t="shared" si="7"/>
        <v>45.69763967</v>
      </c>
      <c r="Q21" s="26">
        <v>2291536.0</v>
      </c>
      <c r="R21" s="31">
        <f t="shared" si="8"/>
        <v>89.41037292</v>
      </c>
      <c r="S21" s="26">
        <v>2208352.0</v>
      </c>
      <c r="T21" s="31">
        <f t="shared" si="9"/>
        <v>86.16472788</v>
      </c>
      <c r="U21" s="26">
        <v>74986.0</v>
      </c>
      <c r="V21" s="31">
        <f t="shared" si="10"/>
        <v>2.925778266</v>
      </c>
      <c r="W21" s="26">
        <v>201677.0</v>
      </c>
      <c r="X21" s="31">
        <f t="shared" si="11"/>
        <v>7.868964651</v>
      </c>
      <c r="Y21" s="26">
        <v>205934.0</v>
      </c>
      <c r="Z21" s="31">
        <f t="shared" si="12"/>
        <v>8.03506283</v>
      </c>
      <c r="AA21" s="26">
        <v>525753.0</v>
      </c>
      <c r="AB21" s="31">
        <f t="shared" si="13"/>
        <v>20.51365189</v>
      </c>
      <c r="AC21" s="26">
        <v>158128.0</v>
      </c>
      <c r="AD21" s="31">
        <f t="shared" si="14"/>
        <v>6.169784568</v>
      </c>
      <c r="AE21" s="26">
        <v>105450.0</v>
      </c>
      <c r="AF21" s="31">
        <f t="shared" si="15"/>
        <v>4.114412265</v>
      </c>
      <c r="AG21" s="26">
        <v>84651.0</v>
      </c>
      <c r="AH21" s="31">
        <f t="shared" si="16"/>
        <v>3.302883951</v>
      </c>
      <c r="AI21" s="26">
        <v>276065.0</v>
      </c>
      <c r="AJ21" s="31">
        <f t="shared" si="17"/>
        <v>10.77141036</v>
      </c>
      <c r="AK21" s="26">
        <v>1512366.0</v>
      </c>
      <c r="AL21" s="31">
        <f t="shared" si="18"/>
        <v>59.00898265</v>
      </c>
      <c r="AM21" s="26">
        <v>954818.0</v>
      </c>
      <c r="AN21" s="31">
        <f t="shared" si="19"/>
        <v>37.25476425</v>
      </c>
      <c r="AO21" s="26">
        <v>1059639.0</v>
      </c>
      <c r="AP21" s="31">
        <f t="shared" si="20"/>
        <v>41.34463441</v>
      </c>
      <c r="AQ21" s="26">
        <v>345152.0</v>
      </c>
      <c r="AR21" s="31">
        <f t="shared" si="21"/>
        <v>13.46702344</v>
      </c>
      <c r="AS21" s="26">
        <v>275733.0</v>
      </c>
      <c r="AT21" s="31">
        <f t="shared" si="22"/>
        <v>10.75845649</v>
      </c>
      <c r="AU21" s="58"/>
      <c r="AV21" s="58"/>
      <c r="AW21" s="58"/>
      <c r="AX21" s="58"/>
      <c r="AY21" s="58"/>
      <c r="AZ21" s="58"/>
      <c r="BA21" s="58"/>
      <c r="BB21" s="58"/>
      <c r="BC21" s="58"/>
    </row>
    <row r="22" ht="15.75" customHeight="1">
      <c r="A22" s="25" t="s">
        <v>60</v>
      </c>
      <c r="B22" s="26">
        <v>2373668.0</v>
      </c>
      <c r="C22" s="26">
        <v>913851.0</v>
      </c>
      <c r="D22" s="31">
        <f t="shared" si="1"/>
        <v>38.499529</v>
      </c>
      <c r="E22" s="26">
        <v>444329.0</v>
      </c>
      <c r="F22" s="31">
        <f t="shared" si="2"/>
        <v>18.71908793</v>
      </c>
      <c r="G22" s="26">
        <v>551171.0</v>
      </c>
      <c r="H22" s="31">
        <f t="shared" si="3"/>
        <v>23.22022288</v>
      </c>
      <c r="I22" s="26">
        <v>96771.0</v>
      </c>
      <c r="J22" s="31">
        <f t="shared" si="4"/>
        <v>4.076854893</v>
      </c>
      <c r="K22" s="26">
        <v>501560.0</v>
      </c>
      <c r="L22" s="31">
        <f t="shared" si="5"/>
        <v>21.13016648</v>
      </c>
      <c r="M22" s="26">
        <v>151833.0</v>
      </c>
      <c r="N22" s="31">
        <f t="shared" si="6"/>
        <v>6.396555879</v>
      </c>
      <c r="O22" s="26">
        <v>981592.0</v>
      </c>
      <c r="P22" s="31">
        <f t="shared" si="7"/>
        <v>41.35338219</v>
      </c>
      <c r="Q22" s="26">
        <v>2174335.0</v>
      </c>
      <c r="R22" s="31">
        <f t="shared" si="8"/>
        <v>91.60232181</v>
      </c>
      <c r="S22" s="26">
        <v>2092590.0</v>
      </c>
      <c r="T22" s="31">
        <f t="shared" si="9"/>
        <v>88.15849563</v>
      </c>
      <c r="U22" s="26">
        <v>61682.0</v>
      </c>
      <c r="V22" s="31">
        <f t="shared" si="10"/>
        <v>2.598594243</v>
      </c>
      <c r="W22" s="26">
        <v>194436.0</v>
      </c>
      <c r="X22" s="31">
        <f t="shared" si="11"/>
        <v>8.191373014</v>
      </c>
      <c r="Y22" s="26">
        <v>181413.0</v>
      </c>
      <c r="Z22" s="31">
        <f t="shared" si="12"/>
        <v>7.642728469</v>
      </c>
      <c r="AA22" s="26">
        <v>339596.0</v>
      </c>
      <c r="AB22" s="31">
        <f t="shared" si="13"/>
        <v>14.3068028</v>
      </c>
      <c r="AC22" s="26">
        <v>162524.0</v>
      </c>
      <c r="AD22" s="31">
        <f t="shared" si="14"/>
        <v>6.846955851</v>
      </c>
      <c r="AE22" s="26">
        <v>116611.0</v>
      </c>
      <c r="AF22" s="31">
        <f t="shared" si="15"/>
        <v>4.912692087</v>
      </c>
      <c r="AG22" s="26">
        <v>176002.0</v>
      </c>
      <c r="AH22" s="31">
        <f t="shared" si="16"/>
        <v>7.414769041</v>
      </c>
      <c r="AI22" s="26">
        <v>318607.0</v>
      </c>
      <c r="AJ22" s="31">
        <f t="shared" si="17"/>
        <v>13.42255952</v>
      </c>
      <c r="AK22" s="26">
        <v>1745727.0</v>
      </c>
      <c r="AL22" s="31">
        <f t="shared" si="18"/>
        <v>73.54554217</v>
      </c>
      <c r="AM22" s="26">
        <v>788588.0</v>
      </c>
      <c r="AN22" s="31">
        <f t="shared" si="19"/>
        <v>33.22233775</v>
      </c>
      <c r="AO22" s="26">
        <v>1144071.0</v>
      </c>
      <c r="AP22" s="31">
        <f t="shared" si="20"/>
        <v>48.19844224</v>
      </c>
      <c r="AQ22" s="26">
        <v>284049.0</v>
      </c>
      <c r="AR22" s="31">
        <f t="shared" si="21"/>
        <v>11.96666931</v>
      </c>
      <c r="AS22" s="26">
        <v>170531.0</v>
      </c>
      <c r="AT22" s="31">
        <f t="shared" si="22"/>
        <v>7.184281879</v>
      </c>
      <c r="AU22" s="58"/>
      <c r="AV22" s="58"/>
      <c r="AW22" s="58"/>
      <c r="AX22" s="58"/>
      <c r="AY22" s="58"/>
      <c r="AZ22" s="58"/>
      <c r="BA22" s="58"/>
      <c r="BB22" s="58"/>
      <c r="BC22" s="58"/>
    </row>
    <row r="23" ht="15.75" customHeight="1">
      <c r="A23" s="25" t="s">
        <v>63</v>
      </c>
      <c r="B23" s="26">
        <v>2212721.0</v>
      </c>
      <c r="C23" s="26">
        <v>1137026.0</v>
      </c>
      <c r="D23" s="31">
        <f t="shared" si="1"/>
        <v>51.38587287</v>
      </c>
      <c r="E23" s="26">
        <v>540468.0</v>
      </c>
      <c r="F23" s="31">
        <f t="shared" si="2"/>
        <v>24.42549241</v>
      </c>
      <c r="G23" s="26">
        <v>465081.0</v>
      </c>
      <c r="H23" s="31">
        <f t="shared" si="3"/>
        <v>21.01851069</v>
      </c>
      <c r="I23" s="26">
        <v>195727.0</v>
      </c>
      <c r="J23" s="31">
        <f t="shared" si="4"/>
        <v>8.845534525</v>
      </c>
      <c r="K23" s="26">
        <v>523088.0</v>
      </c>
      <c r="L23" s="31">
        <f t="shared" si="5"/>
        <v>23.64003415</v>
      </c>
      <c r="M23" s="26">
        <v>174758.0</v>
      </c>
      <c r="N23" s="31">
        <f t="shared" si="6"/>
        <v>7.897877771</v>
      </c>
      <c r="O23" s="26">
        <v>613129.0</v>
      </c>
      <c r="P23" s="31">
        <f t="shared" si="7"/>
        <v>27.7092774</v>
      </c>
      <c r="Q23" s="26">
        <v>1982734.0</v>
      </c>
      <c r="R23" s="31">
        <f t="shared" si="8"/>
        <v>89.60614556</v>
      </c>
      <c r="S23" s="26">
        <v>1870340.0</v>
      </c>
      <c r="T23" s="31">
        <f t="shared" si="9"/>
        <v>84.52669812</v>
      </c>
      <c r="U23" s="26">
        <v>119041.0</v>
      </c>
      <c r="V23" s="31">
        <f t="shared" si="10"/>
        <v>5.379846804</v>
      </c>
      <c r="W23" s="26">
        <v>173015.0</v>
      </c>
      <c r="X23" s="31">
        <f t="shared" si="11"/>
        <v>7.819105979</v>
      </c>
      <c r="Y23" s="26">
        <v>172560.0</v>
      </c>
      <c r="Z23" s="31">
        <f t="shared" si="12"/>
        <v>7.798543061</v>
      </c>
      <c r="AA23" s="26">
        <v>256943.0</v>
      </c>
      <c r="AB23" s="31">
        <f t="shared" si="13"/>
        <v>11.61208304</v>
      </c>
      <c r="AC23" s="26">
        <v>147811.0</v>
      </c>
      <c r="AD23" s="31">
        <f t="shared" si="14"/>
        <v>6.680055913</v>
      </c>
      <c r="AE23" s="26">
        <v>64597.0</v>
      </c>
      <c r="AF23" s="31">
        <f t="shared" si="15"/>
        <v>2.919346813</v>
      </c>
      <c r="AG23" s="26">
        <v>121369.0</v>
      </c>
      <c r="AH23" s="31">
        <f t="shared" si="16"/>
        <v>5.485056634</v>
      </c>
      <c r="AI23" s="26">
        <v>340272.0</v>
      </c>
      <c r="AJ23" s="31">
        <f t="shared" si="17"/>
        <v>15.37798936</v>
      </c>
      <c r="AK23" s="26">
        <v>1451056.0</v>
      </c>
      <c r="AL23" s="31">
        <f t="shared" si="18"/>
        <v>65.5779016</v>
      </c>
      <c r="AM23" s="26">
        <v>874605.0</v>
      </c>
      <c r="AN23" s="31">
        <f t="shared" si="19"/>
        <v>39.52622134</v>
      </c>
      <c r="AO23" s="26">
        <v>911616.0</v>
      </c>
      <c r="AP23" s="31">
        <f t="shared" si="20"/>
        <v>41.19886782</v>
      </c>
      <c r="AQ23" s="26">
        <v>358309.0</v>
      </c>
      <c r="AR23" s="31">
        <f t="shared" si="21"/>
        <v>16.19313958</v>
      </c>
      <c r="AS23" s="26">
        <v>139404.0</v>
      </c>
      <c r="AT23" s="31">
        <f t="shared" si="22"/>
        <v>6.300116463</v>
      </c>
      <c r="AU23" s="58"/>
      <c r="AV23" s="58"/>
      <c r="AW23" s="58"/>
      <c r="AX23" s="58"/>
      <c r="AY23" s="58"/>
      <c r="AZ23" s="58"/>
      <c r="BA23" s="58"/>
      <c r="BB23" s="58"/>
      <c r="BC23" s="58"/>
    </row>
    <row r="24" ht="15.75" customHeight="1">
      <c r="A24" s="25" t="s">
        <v>64</v>
      </c>
      <c r="B24" s="26">
        <v>1456025.0</v>
      </c>
      <c r="C24" s="26">
        <v>570083.0</v>
      </c>
      <c r="D24" s="31">
        <f t="shared" si="1"/>
        <v>39.15337992</v>
      </c>
      <c r="E24" s="26">
        <v>311005.0</v>
      </c>
      <c r="F24" s="31">
        <f t="shared" si="2"/>
        <v>21.35986676</v>
      </c>
      <c r="G24" s="26">
        <v>321383.0</v>
      </c>
      <c r="H24" s="31">
        <f t="shared" si="3"/>
        <v>22.07262925</v>
      </c>
      <c r="I24" s="26">
        <v>76887.0</v>
      </c>
      <c r="J24" s="31">
        <f t="shared" si="4"/>
        <v>5.28060988</v>
      </c>
      <c r="K24" s="26">
        <v>380713.0</v>
      </c>
      <c r="L24" s="31">
        <f t="shared" si="5"/>
        <v>26.14742192</v>
      </c>
      <c r="M24" s="26">
        <v>92305.0</v>
      </c>
      <c r="N24" s="31">
        <f t="shared" si="6"/>
        <v>6.339520269</v>
      </c>
      <c r="O24" s="26">
        <v>582176.0</v>
      </c>
      <c r="P24" s="31">
        <f t="shared" si="7"/>
        <v>39.98392885</v>
      </c>
      <c r="Q24" s="26">
        <v>1410264.0</v>
      </c>
      <c r="R24" s="31">
        <f t="shared" si="8"/>
        <v>96.85712814</v>
      </c>
      <c r="S24" s="26">
        <v>1257801.0</v>
      </c>
      <c r="T24" s="31">
        <f t="shared" si="9"/>
        <v>86.38594804</v>
      </c>
      <c r="U24" s="26">
        <v>44229.0</v>
      </c>
      <c r="V24" s="31">
        <f t="shared" si="10"/>
        <v>3.037653886</v>
      </c>
      <c r="W24" s="26">
        <v>81115.0</v>
      </c>
      <c r="X24" s="31">
        <f t="shared" si="11"/>
        <v>5.570989509</v>
      </c>
      <c r="Y24" s="26">
        <v>112979.0</v>
      </c>
      <c r="Z24" s="31">
        <f t="shared" si="12"/>
        <v>7.759413472</v>
      </c>
      <c r="AA24" s="26">
        <v>213061.0</v>
      </c>
      <c r="AB24" s="31">
        <f t="shared" si="13"/>
        <v>14.63305919</v>
      </c>
      <c r="AC24" s="26">
        <v>66679.0</v>
      </c>
      <c r="AD24" s="31">
        <f t="shared" si="14"/>
        <v>4.579523016</v>
      </c>
      <c r="AE24" s="26">
        <v>22224.0</v>
      </c>
      <c r="AF24" s="31">
        <f t="shared" si="15"/>
        <v>1.526347418</v>
      </c>
      <c r="AG24" s="26">
        <v>71332.0</v>
      </c>
      <c r="AH24" s="31">
        <f t="shared" si="16"/>
        <v>4.899091705</v>
      </c>
      <c r="AI24" s="26">
        <v>243341.0</v>
      </c>
      <c r="AJ24" s="31">
        <f t="shared" si="17"/>
        <v>16.71269381</v>
      </c>
      <c r="AK24" s="26">
        <v>612994.0</v>
      </c>
      <c r="AL24" s="31">
        <f t="shared" si="18"/>
        <v>42.10051338</v>
      </c>
      <c r="AM24" s="26">
        <v>510864.0</v>
      </c>
      <c r="AN24" s="31">
        <f t="shared" si="19"/>
        <v>35.08621075</v>
      </c>
      <c r="AO24" s="26">
        <v>386393.0</v>
      </c>
      <c r="AP24" s="31">
        <f t="shared" si="20"/>
        <v>26.53752511</v>
      </c>
      <c r="AQ24" s="26">
        <v>274229.0</v>
      </c>
      <c r="AR24" s="31">
        <f t="shared" si="21"/>
        <v>18.83408595</v>
      </c>
      <c r="AS24" s="26">
        <v>58422.0</v>
      </c>
      <c r="AT24" s="31">
        <f t="shared" si="22"/>
        <v>4.012431105</v>
      </c>
      <c r="AU24" s="58"/>
      <c r="AV24" s="58"/>
      <c r="AW24" s="58"/>
      <c r="AX24" s="58"/>
      <c r="AY24" s="58"/>
      <c r="AZ24" s="58"/>
      <c r="BA24" s="58"/>
      <c r="BB24" s="58"/>
      <c r="BC24" s="58"/>
    </row>
    <row r="25" ht="15.75" customHeight="1">
      <c r="A25" s="25" t="s">
        <v>65</v>
      </c>
      <c r="B25" s="26">
        <v>1496986.0</v>
      </c>
      <c r="C25" s="26">
        <v>409404.0</v>
      </c>
      <c r="D25" s="31">
        <f t="shared" si="1"/>
        <v>27.34855236</v>
      </c>
      <c r="E25" s="26">
        <v>144501.0</v>
      </c>
      <c r="F25" s="31">
        <f t="shared" si="2"/>
        <v>9.652795684</v>
      </c>
      <c r="G25" s="26">
        <v>154839.0</v>
      </c>
      <c r="H25" s="31">
        <f t="shared" si="3"/>
        <v>10.3433833</v>
      </c>
      <c r="I25" s="26">
        <v>24522.0</v>
      </c>
      <c r="J25" s="31">
        <f t="shared" si="4"/>
        <v>1.638091472</v>
      </c>
      <c r="K25" s="26">
        <v>316918.0</v>
      </c>
      <c r="L25" s="31">
        <f t="shared" si="5"/>
        <v>21.17040507</v>
      </c>
      <c r="M25" s="26">
        <v>57070.0</v>
      </c>
      <c r="N25" s="31">
        <f t="shared" si="6"/>
        <v>3.812326902</v>
      </c>
      <c r="O25" s="26">
        <v>358525.0</v>
      </c>
      <c r="P25" s="31">
        <f t="shared" si="7"/>
        <v>23.94978978</v>
      </c>
      <c r="Q25" s="26">
        <v>1354179.0</v>
      </c>
      <c r="R25" s="31">
        <f t="shared" si="8"/>
        <v>90.46036503</v>
      </c>
      <c r="S25" s="26">
        <v>1393082.0</v>
      </c>
      <c r="T25" s="31">
        <f t="shared" si="9"/>
        <v>93.05912013</v>
      </c>
      <c r="U25" s="26">
        <v>27726.0</v>
      </c>
      <c r="V25" s="31">
        <f t="shared" si="10"/>
        <v>1.85212153</v>
      </c>
      <c r="W25" s="26">
        <v>32949.0</v>
      </c>
      <c r="X25" s="31">
        <f t="shared" si="11"/>
        <v>2.201022588</v>
      </c>
      <c r="Y25" s="26">
        <v>48684.0</v>
      </c>
      <c r="Z25" s="31">
        <f t="shared" si="12"/>
        <v>3.252134623</v>
      </c>
      <c r="AA25" s="26">
        <v>94225.0</v>
      </c>
      <c r="AB25" s="31">
        <f t="shared" si="13"/>
        <v>6.294314042</v>
      </c>
      <c r="AC25" s="26">
        <v>45551.0</v>
      </c>
      <c r="AD25" s="31">
        <f t="shared" si="14"/>
        <v>3.042847428</v>
      </c>
      <c r="AE25" s="26">
        <v>9712.0</v>
      </c>
      <c r="AF25" s="31">
        <f t="shared" si="15"/>
        <v>0.6487702624</v>
      </c>
      <c r="AG25" s="26">
        <v>47046.0</v>
      </c>
      <c r="AH25" s="31">
        <f t="shared" si="16"/>
        <v>3.142714762</v>
      </c>
      <c r="AI25" s="26">
        <v>114966.0</v>
      </c>
      <c r="AJ25" s="31">
        <f t="shared" si="17"/>
        <v>7.679831341</v>
      </c>
      <c r="AK25" s="26">
        <v>838462.0</v>
      </c>
      <c r="AL25" s="31">
        <f t="shared" si="18"/>
        <v>56.01000945</v>
      </c>
      <c r="AM25" s="26">
        <v>388821.0</v>
      </c>
      <c r="AN25" s="31">
        <f t="shared" si="19"/>
        <v>25.9735896</v>
      </c>
      <c r="AO25" s="26">
        <v>587897.0</v>
      </c>
      <c r="AP25" s="31">
        <f t="shared" si="20"/>
        <v>39.27204396</v>
      </c>
      <c r="AQ25" s="26">
        <v>155530.0</v>
      </c>
      <c r="AR25" s="31">
        <f t="shared" si="21"/>
        <v>10.38954272</v>
      </c>
      <c r="AS25" s="26">
        <v>45900.0</v>
      </c>
      <c r="AT25" s="31">
        <f t="shared" si="22"/>
        <v>3.066160939</v>
      </c>
      <c r="AU25" s="58"/>
      <c r="AV25" s="58"/>
      <c r="AW25" s="58"/>
      <c r="AX25" s="58"/>
      <c r="AY25" s="58"/>
      <c r="AZ25" s="58"/>
      <c r="BA25" s="58"/>
      <c r="BB25" s="58"/>
      <c r="BC25" s="58"/>
    </row>
    <row r="26" ht="15.75" customHeight="1">
      <c r="A26" s="28"/>
      <c r="B26" s="28"/>
      <c r="C26" s="28"/>
      <c r="D26" s="28"/>
      <c r="E26" s="28"/>
      <c r="F26" s="28"/>
      <c r="G26" s="28"/>
      <c r="H26" s="28"/>
      <c r="I26" s="28"/>
      <c r="J26" s="28"/>
      <c r="K26" s="28"/>
      <c r="L26" s="28"/>
      <c r="M26" s="28"/>
      <c r="N26" s="28"/>
      <c r="O26" s="28"/>
      <c r="P26" s="28"/>
      <c r="Q26" s="28"/>
      <c r="R26" s="28"/>
      <c r="S26" s="28"/>
      <c r="T26" s="28"/>
      <c r="U26" s="28"/>
      <c r="V26" s="28"/>
      <c r="W26" s="28"/>
      <c r="X26" s="28"/>
      <c r="Y26" s="28"/>
      <c r="Z26" s="28"/>
      <c r="AA26" s="28"/>
      <c r="AB26" s="28"/>
      <c r="AC26" s="28"/>
      <c r="AD26" s="28"/>
      <c r="AE26" s="28"/>
      <c r="AF26" s="28"/>
      <c r="AG26" s="28"/>
      <c r="AH26" s="28"/>
      <c r="AI26" s="28"/>
      <c r="AJ26" s="28"/>
      <c r="AK26" s="28"/>
      <c r="AL26" s="28"/>
      <c r="AM26" s="28"/>
      <c r="AN26" s="28"/>
      <c r="AO26" s="28"/>
      <c r="AP26" s="28"/>
      <c r="AQ26" s="28"/>
      <c r="AR26" s="28"/>
      <c r="AS26" s="28"/>
      <c r="AT26" s="28"/>
      <c r="AU26" s="60"/>
      <c r="AV26" s="60"/>
      <c r="AW26" s="60"/>
      <c r="AX26" s="60"/>
      <c r="AY26" s="60"/>
      <c r="AZ26" s="60"/>
      <c r="BA26" s="60"/>
      <c r="BB26" s="60"/>
      <c r="BC26" s="60"/>
    </row>
    <row r="27" ht="15.75" customHeight="1">
      <c r="A27" s="9"/>
      <c r="B27" s="9"/>
      <c r="C27" s="9"/>
      <c r="D27" s="9"/>
      <c r="E27" s="9"/>
      <c r="F27" s="9"/>
      <c r="G27" s="9"/>
      <c r="H27" s="9"/>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9"/>
      <c r="AW27" s="9"/>
      <c r="AX27" s="9"/>
      <c r="AY27" s="9"/>
      <c r="AZ27" s="9"/>
      <c r="BA27" s="9"/>
      <c r="BB27" s="9"/>
      <c r="BC27" s="9"/>
    </row>
    <row r="28" ht="15.75" customHeight="1">
      <c r="A28" s="29" t="s">
        <v>69</v>
      </c>
      <c r="B28" s="29"/>
      <c r="C28" s="29"/>
      <c r="D28" s="29"/>
      <c r="E28" s="29"/>
      <c r="F28" s="29"/>
      <c r="G28" s="29"/>
      <c r="H28" s="29"/>
      <c r="I28" s="29"/>
      <c r="J28" s="29"/>
      <c r="K28" s="29"/>
      <c r="L28" s="29"/>
      <c r="M28" s="29"/>
      <c r="N28" s="29"/>
      <c r="O28" s="29"/>
      <c r="P28" s="29"/>
      <c r="Q28" s="29"/>
      <c r="R28" s="29"/>
      <c r="S28" s="29"/>
      <c r="T28" s="29"/>
      <c r="U28" s="29"/>
      <c r="V28" s="29"/>
      <c r="W28" s="29"/>
      <c r="X28" s="29"/>
      <c r="Y28" s="29"/>
      <c r="Z28" s="29"/>
      <c r="AA28" s="29"/>
      <c r="AB28" s="29"/>
      <c r="AC28" s="29"/>
      <c r="AD28" s="29"/>
      <c r="AE28" s="29"/>
      <c r="AF28" s="29"/>
      <c r="AG28" s="29"/>
      <c r="AH28" s="29"/>
      <c r="AI28" s="29"/>
      <c r="AJ28" s="29"/>
      <c r="AK28" s="29"/>
      <c r="AL28" s="29"/>
      <c r="AM28" s="29"/>
      <c r="AN28" s="29"/>
      <c r="AO28" s="29"/>
      <c r="AP28" s="29"/>
      <c r="AQ28" s="29"/>
      <c r="AR28" s="29"/>
      <c r="AS28" s="29"/>
      <c r="AT28" s="29"/>
      <c r="AU28" s="29"/>
      <c r="AV28" s="29"/>
      <c r="AW28" s="29"/>
      <c r="AX28" s="29"/>
      <c r="AY28" s="29"/>
      <c r="AZ28" s="29"/>
      <c r="BA28" s="29"/>
      <c r="BB28" s="29"/>
      <c r="BC28" s="29"/>
    </row>
    <row r="29" ht="15.75" customHeight="1">
      <c r="A29" s="29" t="s">
        <v>72</v>
      </c>
      <c r="B29" s="29"/>
      <c r="C29" s="29"/>
      <c r="D29" s="29"/>
      <c r="E29" s="29"/>
      <c r="F29" s="29"/>
      <c r="G29" s="29"/>
      <c r="H29" s="29"/>
      <c r="I29" s="29"/>
      <c r="J29" s="29"/>
      <c r="K29" s="29"/>
      <c r="L29" s="29"/>
      <c r="M29" s="29"/>
      <c r="N29" s="29"/>
      <c r="O29" s="29"/>
      <c r="P29" s="29"/>
      <c r="Q29" s="29"/>
      <c r="R29" s="29"/>
      <c r="S29" s="29"/>
      <c r="T29" s="29"/>
      <c r="U29" s="29"/>
      <c r="V29" s="29"/>
      <c r="W29" s="29"/>
      <c r="X29" s="29"/>
      <c r="Y29" s="29"/>
      <c r="Z29" s="29"/>
      <c r="AA29" s="29"/>
      <c r="AB29" s="29"/>
      <c r="AC29" s="29"/>
      <c r="AD29" s="29"/>
      <c r="AE29" s="29"/>
      <c r="AF29" s="29"/>
      <c r="AG29" s="29"/>
      <c r="AH29" s="29"/>
      <c r="AI29" s="29"/>
      <c r="AJ29" s="29"/>
      <c r="AK29" s="29"/>
      <c r="AL29" s="29"/>
      <c r="AM29" s="29"/>
      <c r="AN29" s="29"/>
      <c r="AO29" s="29"/>
      <c r="AP29" s="29"/>
      <c r="AQ29" s="29"/>
      <c r="AR29" s="29"/>
      <c r="AS29" s="29"/>
      <c r="AT29" s="29"/>
      <c r="AU29" s="29"/>
      <c r="AV29" s="29"/>
      <c r="AW29" s="29"/>
      <c r="AX29" s="29"/>
      <c r="AY29" s="29"/>
      <c r="AZ29" s="29"/>
      <c r="BA29" s="29"/>
      <c r="BB29" s="29"/>
      <c r="BC29" s="29"/>
    </row>
    <row r="30" ht="15.75" customHeight="1">
      <c r="A30" s="29" t="s">
        <v>337</v>
      </c>
      <c r="B30" s="29"/>
      <c r="C30" s="29"/>
      <c r="D30" s="29"/>
      <c r="E30" s="29"/>
      <c r="F30" s="29"/>
      <c r="G30" s="29"/>
      <c r="H30" s="29"/>
      <c r="I30" s="29"/>
      <c r="J30" s="29"/>
      <c r="K30" s="29"/>
      <c r="L30" s="29"/>
      <c r="M30" s="29"/>
      <c r="N30" s="29"/>
      <c r="O30" s="29"/>
      <c r="P30" s="29"/>
      <c r="Q30" s="29"/>
      <c r="R30" s="29"/>
      <c r="S30" s="29"/>
      <c r="T30" s="29"/>
      <c r="U30" s="29"/>
      <c r="V30" s="29"/>
      <c r="W30" s="29"/>
      <c r="X30" s="29"/>
      <c r="Y30" s="29"/>
      <c r="Z30" s="29"/>
      <c r="AA30" s="29"/>
      <c r="AB30" s="29"/>
      <c r="AC30" s="29"/>
      <c r="AD30" s="29"/>
      <c r="AE30" s="29"/>
      <c r="AF30" s="29"/>
      <c r="AG30" s="29"/>
      <c r="AH30" s="29"/>
      <c r="AI30" s="29"/>
      <c r="AJ30" s="29"/>
      <c r="AK30" s="29"/>
      <c r="AL30" s="29"/>
      <c r="AM30" s="29"/>
      <c r="AN30" s="29"/>
      <c r="AO30" s="29"/>
      <c r="AP30" s="29"/>
      <c r="AQ30" s="29"/>
      <c r="AR30" s="29"/>
      <c r="AS30" s="29"/>
      <c r="AT30" s="29"/>
      <c r="AU30" s="29"/>
      <c r="AV30" s="29"/>
      <c r="AW30" s="29"/>
      <c r="AX30" s="29"/>
      <c r="AY30" s="29"/>
      <c r="AZ30" s="29"/>
      <c r="BA30" s="29"/>
      <c r="BB30" s="29"/>
      <c r="BC30" s="29"/>
    </row>
    <row r="31" ht="15.75" customHeight="1">
      <c r="A31" s="32" t="s">
        <v>76</v>
      </c>
    </row>
    <row r="32" ht="15.75" customHeight="1">
      <c r="A32" s="32"/>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7">
    <mergeCell ref="AM5:AN5"/>
    <mergeCell ref="AO5:AP5"/>
    <mergeCell ref="AQ5:AR5"/>
    <mergeCell ref="AS5:AT5"/>
    <mergeCell ref="A4:A6"/>
    <mergeCell ref="B4:B6"/>
    <mergeCell ref="C4:AT4"/>
    <mergeCell ref="C5:D5"/>
    <mergeCell ref="E5:F5"/>
    <mergeCell ref="G5:H5"/>
    <mergeCell ref="I5:J5"/>
    <mergeCell ref="K5:L5"/>
    <mergeCell ref="M5:N5"/>
    <mergeCell ref="A31:Q31"/>
    <mergeCell ref="A32:Q32"/>
    <mergeCell ref="O5:P5"/>
    <mergeCell ref="Q5:R5"/>
    <mergeCell ref="S5:T5"/>
    <mergeCell ref="U5:V5"/>
    <mergeCell ref="W5:X5"/>
    <mergeCell ref="Y5:Z5"/>
    <mergeCell ref="AA5:AB5"/>
    <mergeCell ref="AC5:AD5"/>
    <mergeCell ref="AE5:AF5"/>
    <mergeCell ref="AG5:AH5"/>
    <mergeCell ref="AI5:AJ5"/>
    <mergeCell ref="AK5:AL5"/>
  </mergeCells>
  <hyperlinks>
    <hyperlink display="BACK TO LIST" location="LIST!A1" ref="A1"/>
  </hyperlinks>
  <printOptions/>
  <pageMargins bottom="0.75" footer="0.0" header="0.0" left="0.7" right="0.7" top="0.75"/>
  <pageSetup paperSize="9" scale="63" orientation="portrait"/>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9"/>
    <pageSetUpPr/>
  </sheetPr>
  <sheetViews>
    <sheetView workbookViewId="0"/>
  </sheetViews>
  <sheetFormatPr customHeight="1" defaultColWidth="12.63" defaultRowHeight="15.0"/>
  <cols>
    <col customWidth="1" min="1" max="1" width="39.0"/>
    <col customWidth="1" min="2" max="2" width="17.38"/>
    <col customWidth="1" min="3" max="28" width="14.0"/>
  </cols>
  <sheetData>
    <row r="1">
      <c r="A1" s="5" t="s">
        <v>1</v>
      </c>
    </row>
    <row r="2" ht="15.0" customHeight="1">
      <c r="A2" s="33" t="s">
        <v>301</v>
      </c>
      <c r="B2" s="7"/>
      <c r="C2" s="7"/>
      <c r="D2" s="7"/>
    </row>
    <row r="3">
      <c r="A3" s="8"/>
      <c r="B3" s="9"/>
      <c r="C3" s="9"/>
      <c r="D3" s="9"/>
    </row>
    <row r="4">
      <c r="A4" s="10" t="s">
        <v>13</v>
      </c>
      <c r="B4" s="12">
        <v>2019.0</v>
      </c>
      <c r="C4" s="14"/>
      <c r="D4" s="14"/>
      <c r="E4" s="14"/>
      <c r="F4" s="14"/>
      <c r="G4" s="14"/>
      <c r="H4" s="14"/>
      <c r="I4" s="14"/>
      <c r="J4" s="14"/>
      <c r="K4" s="14"/>
      <c r="L4" s="14"/>
      <c r="M4" s="14"/>
      <c r="N4" s="14"/>
      <c r="O4" s="14"/>
      <c r="P4" s="14"/>
      <c r="Q4" s="14"/>
      <c r="R4" s="14"/>
      <c r="S4" s="14"/>
      <c r="T4" s="14"/>
      <c r="U4" s="14"/>
      <c r="V4" s="15"/>
    </row>
    <row r="5">
      <c r="A5" s="17"/>
      <c r="B5" s="21" t="s">
        <v>308</v>
      </c>
      <c r="C5" s="42" t="s">
        <v>309</v>
      </c>
      <c r="D5" s="14"/>
      <c r="E5" s="14"/>
      <c r="F5" s="14"/>
      <c r="G5" s="14"/>
      <c r="H5" s="14"/>
      <c r="I5" s="14"/>
      <c r="J5" s="14"/>
      <c r="K5" s="14"/>
      <c r="L5" s="14"/>
      <c r="M5" s="14"/>
      <c r="N5" s="14"/>
      <c r="O5" s="14"/>
      <c r="P5" s="14"/>
      <c r="Q5" s="14"/>
      <c r="R5" s="14"/>
      <c r="S5" s="14"/>
      <c r="T5" s="14"/>
      <c r="U5" s="14"/>
      <c r="V5" s="15"/>
    </row>
    <row r="6" ht="37.5" customHeight="1">
      <c r="A6" s="17"/>
      <c r="B6" s="17"/>
      <c r="C6" s="13" t="s">
        <v>310</v>
      </c>
      <c r="D6" s="15"/>
      <c r="E6" s="13" t="s">
        <v>311</v>
      </c>
      <c r="F6" s="15"/>
      <c r="G6" s="13" t="s">
        <v>312</v>
      </c>
      <c r="H6" s="15"/>
      <c r="I6" s="13" t="s">
        <v>313</v>
      </c>
      <c r="J6" s="15"/>
      <c r="K6" s="13" t="s">
        <v>314</v>
      </c>
      <c r="L6" s="15"/>
      <c r="M6" s="13" t="s">
        <v>315</v>
      </c>
      <c r="N6" s="15"/>
      <c r="O6" s="13" t="s">
        <v>316</v>
      </c>
      <c r="P6" s="15"/>
      <c r="Q6" s="13" t="s">
        <v>317</v>
      </c>
      <c r="R6" s="15"/>
      <c r="S6" s="13" t="s">
        <v>318</v>
      </c>
      <c r="T6" s="15"/>
      <c r="U6" s="13" t="s">
        <v>170</v>
      </c>
      <c r="V6" s="15"/>
    </row>
    <row r="7">
      <c r="A7" s="18"/>
      <c r="B7" s="18"/>
      <c r="C7" s="24" t="s">
        <v>37</v>
      </c>
      <c r="D7" s="24" t="s">
        <v>39</v>
      </c>
      <c r="E7" s="24" t="s">
        <v>37</v>
      </c>
      <c r="F7" s="24" t="s">
        <v>39</v>
      </c>
      <c r="G7" s="24" t="s">
        <v>37</v>
      </c>
      <c r="H7" s="24" t="s">
        <v>39</v>
      </c>
      <c r="I7" s="24" t="s">
        <v>37</v>
      </c>
      <c r="J7" s="24" t="s">
        <v>39</v>
      </c>
      <c r="K7" s="24" t="s">
        <v>37</v>
      </c>
      <c r="L7" s="24" t="s">
        <v>39</v>
      </c>
      <c r="M7" s="24" t="s">
        <v>37</v>
      </c>
      <c r="N7" s="24" t="s">
        <v>39</v>
      </c>
      <c r="O7" s="24" t="s">
        <v>37</v>
      </c>
      <c r="P7" s="24" t="s">
        <v>39</v>
      </c>
      <c r="Q7" s="24" t="s">
        <v>37</v>
      </c>
      <c r="R7" s="24" t="s">
        <v>39</v>
      </c>
      <c r="S7" s="24" t="s">
        <v>37</v>
      </c>
      <c r="T7" s="24" t="s">
        <v>39</v>
      </c>
      <c r="U7" s="24" t="s">
        <v>37</v>
      </c>
      <c r="V7" s="24" t="s">
        <v>39</v>
      </c>
    </row>
    <row r="8">
      <c r="A8" s="16"/>
      <c r="B8" s="20"/>
      <c r="C8" s="20"/>
      <c r="D8" s="20"/>
      <c r="E8" s="20"/>
      <c r="F8" s="20"/>
      <c r="G8" s="20"/>
      <c r="H8" s="20"/>
      <c r="I8" s="20"/>
      <c r="J8" s="20"/>
      <c r="K8" s="20"/>
      <c r="L8" s="20"/>
      <c r="M8" s="20"/>
      <c r="N8" s="20"/>
      <c r="O8" s="20"/>
      <c r="P8" s="20"/>
      <c r="Q8" s="20"/>
      <c r="R8" s="20"/>
      <c r="S8" s="20"/>
      <c r="T8" s="20"/>
      <c r="U8" s="20"/>
      <c r="V8" s="20"/>
    </row>
    <row r="9">
      <c r="A9" s="22" t="s">
        <v>33</v>
      </c>
      <c r="B9" s="23">
        <v>1.9237079E7</v>
      </c>
      <c r="C9" s="23">
        <v>3729704.0</v>
      </c>
      <c r="D9" s="27">
        <f t="shared" ref="D9:D26" si="1">C9/$B9*100</f>
        <v>19.38809941</v>
      </c>
      <c r="E9" s="23">
        <v>219186.0</v>
      </c>
      <c r="F9" s="27">
        <f t="shared" ref="F9:F26" si="2">E9/$B9*100</f>
        <v>1.139393356</v>
      </c>
      <c r="G9" s="23">
        <v>73222.0</v>
      </c>
      <c r="H9" s="27">
        <f t="shared" ref="H9:H26" si="3">G9/$B9*100</f>
        <v>0.3806295124</v>
      </c>
      <c r="I9" s="23">
        <v>97182.0</v>
      </c>
      <c r="J9" s="27">
        <f t="shared" ref="J9:J26" si="4">I9/$B9*100</f>
        <v>0.5051806462</v>
      </c>
      <c r="K9" s="23">
        <v>882825.0</v>
      </c>
      <c r="L9" s="27">
        <f t="shared" ref="L9:L26" si="5">K9/$B9*100</f>
        <v>4.589184252</v>
      </c>
      <c r="M9" s="23">
        <v>1.0094487E7</v>
      </c>
      <c r="N9" s="27">
        <f t="shared" ref="N9:N26" si="6">M9/$B9*100</f>
        <v>52.47411522</v>
      </c>
      <c r="O9" s="23">
        <v>6509587.0</v>
      </c>
      <c r="P9" s="27">
        <f t="shared" ref="P9:P26" si="7">O9/$B9*100</f>
        <v>33.83874964</v>
      </c>
      <c r="Q9" s="23">
        <v>1720534.0</v>
      </c>
      <c r="R9" s="27">
        <f t="shared" ref="R9:R26" si="8">Q9/$B9*100</f>
        <v>8.943842254</v>
      </c>
      <c r="S9" s="23">
        <v>1698211.0</v>
      </c>
      <c r="T9" s="27">
        <f t="shared" ref="T9:T26" si="9">S9/$B9*100</f>
        <v>8.827800728</v>
      </c>
      <c r="U9" s="23">
        <v>396970.0</v>
      </c>
      <c r="V9" s="27">
        <f t="shared" ref="V9:V26" si="10">U9/$B9*100</f>
        <v>2.063566927</v>
      </c>
    </row>
    <row r="10">
      <c r="A10" s="25" t="s">
        <v>38</v>
      </c>
      <c r="B10" s="26">
        <v>2008874.0</v>
      </c>
      <c r="C10" s="26">
        <v>107769.0</v>
      </c>
      <c r="D10" s="31">
        <f t="shared" si="1"/>
        <v>5.364647061</v>
      </c>
      <c r="E10" s="26">
        <v>38176.0</v>
      </c>
      <c r="F10" s="31">
        <f t="shared" si="2"/>
        <v>1.900368067</v>
      </c>
      <c r="G10" s="26">
        <v>7103.0</v>
      </c>
      <c r="H10" s="31">
        <f t="shared" si="3"/>
        <v>0.3535811604</v>
      </c>
      <c r="I10" s="26">
        <v>18854.0</v>
      </c>
      <c r="J10" s="31">
        <f t="shared" si="4"/>
        <v>0.938535717</v>
      </c>
      <c r="K10" s="26">
        <v>157519.0</v>
      </c>
      <c r="L10" s="31">
        <f t="shared" si="5"/>
        <v>7.841158778</v>
      </c>
      <c r="M10" s="26">
        <v>1187583.0</v>
      </c>
      <c r="N10" s="31">
        <f t="shared" si="6"/>
        <v>59.11684854</v>
      </c>
      <c r="O10" s="26">
        <v>625405.0</v>
      </c>
      <c r="P10" s="31">
        <f t="shared" si="7"/>
        <v>31.1321168</v>
      </c>
      <c r="Q10" s="26">
        <v>215969.0</v>
      </c>
      <c r="R10" s="31">
        <f t="shared" si="8"/>
        <v>10.75074893</v>
      </c>
      <c r="S10" s="26">
        <v>351442.0</v>
      </c>
      <c r="T10" s="31">
        <f t="shared" si="9"/>
        <v>17.49447701</v>
      </c>
      <c r="U10" s="26">
        <v>40586.0</v>
      </c>
      <c r="V10" s="31">
        <f t="shared" si="10"/>
        <v>2.02033577</v>
      </c>
    </row>
    <row r="11">
      <c r="A11" s="25" t="s">
        <v>41</v>
      </c>
      <c r="B11" s="26">
        <v>272693.0</v>
      </c>
      <c r="C11" s="26">
        <v>81520.0</v>
      </c>
      <c r="D11" s="31">
        <f t="shared" si="1"/>
        <v>29.8944234</v>
      </c>
      <c r="E11" s="26">
        <v>94.0</v>
      </c>
      <c r="F11" s="31">
        <f t="shared" si="2"/>
        <v>0.03447099852</v>
      </c>
      <c r="G11" s="26">
        <v>264.0</v>
      </c>
      <c r="H11" s="31">
        <f t="shared" si="3"/>
        <v>0.09681216606</v>
      </c>
      <c r="I11" s="26">
        <v>141.0</v>
      </c>
      <c r="J11" s="31">
        <f t="shared" si="4"/>
        <v>0.05170649778</v>
      </c>
      <c r="K11" s="26">
        <v>9281.0</v>
      </c>
      <c r="L11" s="31">
        <f t="shared" si="5"/>
        <v>3.403461035</v>
      </c>
      <c r="M11" s="26">
        <v>70553.0</v>
      </c>
      <c r="N11" s="31">
        <f t="shared" si="6"/>
        <v>25.87268467</v>
      </c>
      <c r="O11" s="26">
        <v>60661.0</v>
      </c>
      <c r="P11" s="31">
        <f t="shared" si="7"/>
        <v>22.24516214</v>
      </c>
      <c r="Q11" s="26">
        <v>16253.0</v>
      </c>
      <c r="R11" s="31">
        <f t="shared" si="8"/>
        <v>5.96018233</v>
      </c>
      <c r="S11" s="26">
        <v>50485.0</v>
      </c>
      <c r="T11" s="31">
        <f t="shared" si="9"/>
        <v>18.5134932</v>
      </c>
      <c r="U11" s="26">
        <v>3171.0</v>
      </c>
      <c r="V11" s="31">
        <f t="shared" si="10"/>
        <v>1.162846131</v>
      </c>
    </row>
    <row r="12">
      <c r="A12" s="25" t="s">
        <v>43</v>
      </c>
      <c r="B12" s="26">
        <v>1025390.0</v>
      </c>
      <c r="C12" s="26">
        <v>133482.0</v>
      </c>
      <c r="D12" s="31">
        <f t="shared" si="1"/>
        <v>13.01768108</v>
      </c>
      <c r="E12" s="26">
        <v>3280.0</v>
      </c>
      <c r="F12" s="31">
        <f t="shared" si="2"/>
        <v>0.3198782902</v>
      </c>
      <c r="G12" s="26">
        <v>2067.0</v>
      </c>
      <c r="H12" s="31">
        <f t="shared" si="3"/>
        <v>0.2015818372</v>
      </c>
      <c r="I12" s="26">
        <v>4964.0</v>
      </c>
      <c r="J12" s="31">
        <f t="shared" si="4"/>
        <v>0.4841084856</v>
      </c>
      <c r="K12" s="26">
        <v>47837.0</v>
      </c>
      <c r="L12" s="31">
        <f t="shared" si="5"/>
        <v>4.66524932</v>
      </c>
      <c r="M12" s="26">
        <v>582889.0</v>
      </c>
      <c r="N12" s="31">
        <f t="shared" si="6"/>
        <v>56.84559046</v>
      </c>
      <c r="O12" s="26">
        <v>255591.0</v>
      </c>
      <c r="P12" s="31">
        <f t="shared" si="7"/>
        <v>24.92622319</v>
      </c>
      <c r="Q12" s="26">
        <v>57512.0</v>
      </c>
      <c r="R12" s="31">
        <f t="shared" si="8"/>
        <v>5.608792752</v>
      </c>
      <c r="S12" s="26">
        <v>389223.0</v>
      </c>
      <c r="T12" s="31">
        <f t="shared" si="9"/>
        <v>37.95853285</v>
      </c>
      <c r="U12" s="26">
        <v>15532.0</v>
      </c>
      <c r="V12" s="31">
        <f t="shared" si="10"/>
        <v>1.514740733</v>
      </c>
    </row>
    <row r="13">
      <c r="A13" s="25" t="s">
        <v>44</v>
      </c>
      <c r="B13" s="26">
        <v>701564.0</v>
      </c>
      <c r="C13" s="26">
        <v>121351.0</v>
      </c>
      <c r="D13" s="31">
        <f t="shared" si="1"/>
        <v>17.29721023</v>
      </c>
      <c r="E13" s="26">
        <v>7360.0</v>
      </c>
      <c r="F13" s="31">
        <f t="shared" si="2"/>
        <v>1.049084617</v>
      </c>
      <c r="G13" s="26">
        <v>6120.0</v>
      </c>
      <c r="H13" s="31">
        <f t="shared" si="3"/>
        <v>0.8723366649</v>
      </c>
      <c r="I13" s="26">
        <v>3738.0</v>
      </c>
      <c r="J13" s="31">
        <f t="shared" si="4"/>
        <v>0.5328095512</v>
      </c>
      <c r="K13" s="26">
        <v>12503.0</v>
      </c>
      <c r="L13" s="31">
        <f t="shared" si="5"/>
        <v>1.782161</v>
      </c>
      <c r="M13" s="26">
        <v>166159.0</v>
      </c>
      <c r="N13" s="31">
        <f t="shared" si="6"/>
        <v>23.68408299</v>
      </c>
      <c r="O13" s="26">
        <v>265684.0</v>
      </c>
      <c r="P13" s="31">
        <f t="shared" si="7"/>
        <v>37.8702442</v>
      </c>
      <c r="Q13" s="26">
        <v>11227.0</v>
      </c>
      <c r="R13" s="31">
        <f t="shared" si="8"/>
        <v>1.600281656</v>
      </c>
      <c r="S13" s="26">
        <v>53462.0</v>
      </c>
      <c r="T13" s="31">
        <f t="shared" si="9"/>
        <v>7.620402415</v>
      </c>
      <c r="U13" s="26">
        <v>5959.0</v>
      </c>
      <c r="V13" s="31">
        <f t="shared" si="10"/>
        <v>0.8493879389</v>
      </c>
    </row>
    <row r="14">
      <c r="A14" s="25" t="s">
        <v>46</v>
      </c>
      <c r="B14" s="26">
        <v>2160105.0</v>
      </c>
      <c r="C14" s="26">
        <v>274594.0</v>
      </c>
      <c r="D14" s="31">
        <f t="shared" si="1"/>
        <v>12.71206724</v>
      </c>
      <c r="E14" s="26">
        <v>743.0</v>
      </c>
      <c r="F14" s="31">
        <f t="shared" si="2"/>
        <v>0.0343964761</v>
      </c>
      <c r="G14" s="26">
        <v>4281.0</v>
      </c>
      <c r="H14" s="31">
        <f t="shared" si="3"/>
        <v>0.1981848105</v>
      </c>
      <c r="I14" s="26">
        <v>3548.0</v>
      </c>
      <c r="J14" s="31">
        <f t="shared" si="4"/>
        <v>0.1642512748</v>
      </c>
      <c r="K14" s="26">
        <v>202823.0</v>
      </c>
      <c r="L14" s="31">
        <f t="shared" si="5"/>
        <v>9.38949727</v>
      </c>
      <c r="M14" s="26">
        <v>1414276.0</v>
      </c>
      <c r="N14" s="31">
        <f t="shared" si="6"/>
        <v>65.47255805</v>
      </c>
      <c r="O14" s="26">
        <v>1149016.0</v>
      </c>
      <c r="P14" s="31">
        <f t="shared" si="7"/>
        <v>53.19259943</v>
      </c>
      <c r="Q14" s="26">
        <v>267431.0</v>
      </c>
      <c r="R14" s="31">
        <f t="shared" si="8"/>
        <v>12.38046299</v>
      </c>
      <c r="S14" s="26">
        <v>170687.0</v>
      </c>
      <c r="T14" s="31">
        <f t="shared" si="9"/>
        <v>7.901791811</v>
      </c>
      <c r="U14" s="26">
        <v>845.0</v>
      </c>
      <c r="V14" s="31">
        <f t="shared" si="10"/>
        <v>0.03911846878</v>
      </c>
    </row>
    <row r="15">
      <c r="A15" s="25" t="s">
        <v>48</v>
      </c>
      <c r="B15" s="26">
        <v>2642039.0</v>
      </c>
      <c r="C15" s="26">
        <v>486881.0</v>
      </c>
      <c r="D15" s="31">
        <f t="shared" si="1"/>
        <v>18.42822911</v>
      </c>
      <c r="E15" s="26">
        <v>123432.0</v>
      </c>
      <c r="F15" s="31">
        <f t="shared" si="2"/>
        <v>4.671846252</v>
      </c>
      <c r="G15" s="26">
        <v>10400.0</v>
      </c>
      <c r="H15" s="31">
        <f t="shared" si="3"/>
        <v>0.3936353703</v>
      </c>
      <c r="I15" s="26">
        <v>10812.0</v>
      </c>
      <c r="J15" s="31">
        <f t="shared" si="4"/>
        <v>0.4092293868</v>
      </c>
      <c r="K15" s="26">
        <v>97027.0</v>
      </c>
      <c r="L15" s="31">
        <f t="shared" si="5"/>
        <v>3.672428757</v>
      </c>
      <c r="M15" s="26">
        <v>1837437.0</v>
      </c>
      <c r="N15" s="31">
        <f t="shared" si="6"/>
        <v>69.54617248</v>
      </c>
      <c r="O15" s="26">
        <v>643307.0</v>
      </c>
      <c r="P15" s="31">
        <f t="shared" si="7"/>
        <v>24.34888357</v>
      </c>
      <c r="Q15" s="26">
        <v>315859.0</v>
      </c>
      <c r="R15" s="31">
        <f t="shared" si="8"/>
        <v>11.95512254</v>
      </c>
      <c r="S15" s="26">
        <v>75817.0</v>
      </c>
      <c r="T15" s="31">
        <f t="shared" si="9"/>
        <v>2.869639699</v>
      </c>
      <c r="U15" s="26">
        <v>206255.0</v>
      </c>
      <c r="V15" s="31">
        <f t="shared" si="10"/>
        <v>7.806659932</v>
      </c>
    </row>
    <row r="16">
      <c r="A16" s="25" t="s">
        <v>50</v>
      </c>
      <c r="B16" s="26">
        <v>634776.0</v>
      </c>
      <c r="C16" s="26">
        <v>99527.0</v>
      </c>
      <c r="D16" s="31">
        <f t="shared" si="1"/>
        <v>15.67907419</v>
      </c>
      <c r="E16" s="26">
        <v>632.0</v>
      </c>
      <c r="F16" s="31">
        <f t="shared" si="2"/>
        <v>0.09956268038</v>
      </c>
      <c r="G16" s="26">
        <v>524.0</v>
      </c>
      <c r="H16" s="31">
        <f t="shared" si="3"/>
        <v>0.08254880462</v>
      </c>
      <c r="I16" s="26">
        <v>881.0</v>
      </c>
      <c r="J16" s="31">
        <f t="shared" si="4"/>
        <v>0.1387891162</v>
      </c>
      <c r="K16" s="26">
        <v>16090.0</v>
      </c>
      <c r="L16" s="31">
        <f t="shared" si="5"/>
        <v>2.534752417</v>
      </c>
      <c r="M16" s="26">
        <v>308688.0</v>
      </c>
      <c r="N16" s="31">
        <f t="shared" si="6"/>
        <v>48.62943779</v>
      </c>
      <c r="O16" s="26">
        <v>252253.0</v>
      </c>
      <c r="P16" s="31">
        <f t="shared" si="7"/>
        <v>39.73890002</v>
      </c>
      <c r="Q16" s="26">
        <v>82895.0</v>
      </c>
      <c r="R16" s="31">
        <f t="shared" si="8"/>
        <v>13.05893733</v>
      </c>
      <c r="S16" s="26">
        <v>111954.0</v>
      </c>
      <c r="T16" s="31">
        <f t="shared" si="9"/>
        <v>17.63677266</v>
      </c>
      <c r="U16" s="26">
        <v>57489.0</v>
      </c>
      <c r="V16" s="31">
        <f t="shared" si="10"/>
        <v>9.056580589</v>
      </c>
    </row>
    <row r="17">
      <c r="A17" s="25" t="s">
        <v>51</v>
      </c>
      <c r="B17" s="26">
        <v>955923.0</v>
      </c>
      <c r="C17" s="26">
        <v>379426.0</v>
      </c>
      <c r="D17" s="31">
        <f t="shared" si="1"/>
        <v>39.69210909</v>
      </c>
      <c r="E17" s="26">
        <v>6187.0</v>
      </c>
      <c r="F17" s="31">
        <f t="shared" si="2"/>
        <v>0.6472278625</v>
      </c>
      <c r="G17" s="26">
        <v>6025.0</v>
      </c>
      <c r="H17" s="31">
        <f t="shared" si="3"/>
        <v>0.6302808908</v>
      </c>
      <c r="I17" s="26">
        <v>9961.0</v>
      </c>
      <c r="J17" s="31">
        <f t="shared" si="4"/>
        <v>1.042029536</v>
      </c>
      <c r="K17" s="26">
        <v>14284.0</v>
      </c>
      <c r="L17" s="31">
        <f t="shared" si="5"/>
        <v>1.494262613</v>
      </c>
      <c r="M17" s="26">
        <v>242622.0</v>
      </c>
      <c r="N17" s="31">
        <f t="shared" si="6"/>
        <v>25.38091457</v>
      </c>
      <c r="O17" s="26">
        <v>198008.0</v>
      </c>
      <c r="P17" s="31">
        <f t="shared" si="7"/>
        <v>20.71380226</v>
      </c>
      <c r="Q17" s="26">
        <v>175350.0</v>
      </c>
      <c r="R17" s="31">
        <f t="shared" si="8"/>
        <v>18.34352767</v>
      </c>
      <c r="S17" s="26">
        <v>45860.0</v>
      </c>
      <c r="T17" s="31">
        <f t="shared" si="9"/>
        <v>4.797457536</v>
      </c>
      <c r="U17" s="26">
        <v>7830.0</v>
      </c>
      <c r="V17" s="31">
        <f t="shared" si="10"/>
        <v>0.8191036307</v>
      </c>
    </row>
    <row r="18">
      <c r="A18" s="25" t="s">
        <v>53</v>
      </c>
      <c r="B18" s="26">
        <v>1528295.0</v>
      </c>
      <c r="C18" s="26">
        <v>450590.0</v>
      </c>
      <c r="D18" s="31">
        <f t="shared" si="1"/>
        <v>29.48318224</v>
      </c>
      <c r="E18" s="26">
        <v>2704.0</v>
      </c>
      <c r="F18" s="31">
        <f t="shared" si="2"/>
        <v>0.1769291923</v>
      </c>
      <c r="G18" s="26">
        <v>742.0</v>
      </c>
      <c r="H18" s="31">
        <f t="shared" si="3"/>
        <v>0.04855083606</v>
      </c>
      <c r="I18" s="26">
        <v>1288.0</v>
      </c>
      <c r="J18" s="31">
        <f t="shared" si="4"/>
        <v>0.08427692298</v>
      </c>
      <c r="K18" s="26">
        <v>44711.0</v>
      </c>
      <c r="L18" s="31">
        <f t="shared" si="5"/>
        <v>2.925547751</v>
      </c>
      <c r="M18" s="26">
        <v>894264.0</v>
      </c>
      <c r="N18" s="31">
        <f t="shared" si="6"/>
        <v>58.51383404</v>
      </c>
      <c r="O18" s="26">
        <v>251236.0</v>
      </c>
      <c r="P18" s="31">
        <f t="shared" si="7"/>
        <v>16.43897284</v>
      </c>
      <c r="Q18" s="26">
        <v>34648.0</v>
      </c>
      <c r="R18" s="31">
        <f t="shared" si="8"/>
        <v>2.267101574</v>
      </c>
      <c r="S18" s="26">
        <v>116641.0</v>
      </c>
      <c r="T18" s="31">
        <f t="shared" si="9"/>
        <v>7.632099824</v>
      </c>
      <c r="U18" s="26">
        <v>3357.0</v>
      </c>
      <c r="V18" s="31">
        <f t="shared" si="10"/>
        <v>0.2196565454</v>
      </c>
    </row>
    <row r="19">
      <c r="A19" s="25" t="s">
        <v>54</v>
      </c>
      <c r="B19" s="26">
        <v>1633431.0</v>
      </c>
      <c r="C19" s="26">
        <v>78022.0</v>
      </c>
      <c r="D19" s="31">
        <f t="shared" si="1"/>
        <v>4.776571523</v>
      </c>
      <c r="E19" s="26">
        <v>816.0</v>
      </c>
      <c r="F19" s="31">
        <f t="shared" si="2"/>
        <v>0.0499561965</v>
      </c>
      <c r="G19" s="26">
        <v>1811.0</v>
      </c>
      <c r="H19" s="31">
        <f t="shared" si="3"/>
        <v>0.1108709214</v>
      </c>
      <c r="I19" s="26">
        <v>5341.0</v>
      </c>
      <c r="J19" s="31">
        <f t="shared" si="4"/>
        <v>0.3269804479</v>
      </c>
      <c r="K19" s="26">
        <v>115781.0</v>
      </c>
      <c r="L19" s="31">
        <f t="shared" si="5"/>
        <v>7.088208807</v>
      </c>
      <c r="M19" s="26">
        <v>868480.0</v>
      </c>
      <c r="N19" s="31">
        <f t="shared" si="6"/>
        <v>53.1690656</v>
      </c>
      <c r="O19" s="26">
        <v>639513.0</v>
      </c>
      <c r="P19" s="31">
        <f t="shared" si="7"/>
        <v>39.15151604</v>
      </c>
      <c r="Q19" s="26">
        <v>95200.0</v>
      </c>
      <c r="R19" s="31">
        <f t="shared" si="8"/>
        <v>5.828222925</v>
      </c>
      <c r="S19" s="26">
        <v>112542.0</v>
      </c>
      <c r="T19" s="31">
        <f t="shared" si="9"/>
        <v>6.889914542</v>
      </c>
      <c r="U19" s="26">
        <v>13163.0</v>
      </c>
      <c r="V19" s="31">
        <f t="shared" si="10"/>
        <v>0.8058497727</v>
      </c>
    </row>
    <row r="20">
      <c r="A20" s="25" t="s">
        <v>56</v>
      </c>
      <c r="B20" s="26">
        <v>869184.0</v>
      </c>
      <c r="C20" s="26">
        <v>136948.0</v>
      </c>
      <c r="D20" s="31">
        <f t="shared" si="1"/>
        <v>15.7559274</v>
      </c>
      <c r="E20" s="26">
        <v>1777.0</v>
      </c>
      <c r="F20" s="31">
        <f t="shared" si="2"/>
        <v>0.2044446285</v>
      </c>
      <c r="G20" s="26">
        <v>538.0</v>
      </c>
      <c r="H20" s="31">
        <f t="shared" si="3"/>
        <v>0.0618971357</v>
      </c>
      <c r="I20" s="26">
        <v>589.0</v>
      </c>
      <c r="J20" s="31">
        <f t="shared" si="4"/>
        <v>0.06776470805</v>
      </c>
      <c r="K20" s="26">
        <v>15059.0</v>
      </c>
      <c r="L20" s="31">
        <f t="shared" si="5"/>
        <v>1.732544548</v>
      </c>
      <c r="M20" s="26">
        <v>433435.0</v>
      </c>
      <c r="N20" s="31">
        <f t="shared" si="6"/>
        <v>49.86688664</v>
      </c>
      <c r="O20" s="26">
        <v>448368.0</v>
      </c>
      <c r="P20" s="31">
        <f t="shared" si="7"/>
        <v>51.58493484</v>
      </c>
      <c r="Q20" s="26">
        <v>15029.0</v>
      </c>
      <c r="R20" s="31">
        <f t="shared" si="8"/>
        <v>1.729093034</v>
      </c>
      <c r="S20" s="26">
        <v>53126.0</v>
      </c>
      <c r="T20" s="31">
        <f t="shared" si="9"/>
        <v>6.112169575</v>
      </c>
      <c r="U20" s="26">
        <v>7355.0</v>
      </c>
      <c r="V20" s="31">
        <f t="shared" si="10"/>
        <v>0.8461959723</v>
      </c>
    </row>
    <row r="21" ht="15.75" customHeight="1">
      <c r="A21" s="25" t="s">
        <v>57</v>
      </c>
      <c r="B21" s="26">
        <v>697312.0</v>
      </c>
      <c r="C21" s="26">
        <v>155184.0</v>
      </c>
      <c r="D21" s="31">
        <f t="shared" si="1"/>
        <v>22.25460052</v>
      </c>
      <c r="E21" s="26">
        <v>704.0</v>
      </c>
      <c r="F21" s="31">
        <f t="shared" si="2"/>
        <v>0.1009591116</v>
      </c>
      <c r="G21" s="26">
        <v>878.0</v>
      </c>
      <c r="H21" s="31">
        <f t="shared" si="3"/>
        <v>0.1259120738</v>
      </c>
      <c r="I21" s="26">
        <v>1052.0</v>
      </c>
      <c r="J21" s="31">
        <f t="shared" si="4"/>
        <v>0.150865036</v>
      </c>
      <c r="K21" s="26">
        <v>43817.0</v>
      </c>
      <c r="L21" s="31">
        <f t="shared" si="5"/>
        <v>6.28370084</v>
      </c>
      <c r="M21" s="26">
        <v>361130.0</v>
      </c>
      <c r="N21" s="31">
        <f t="shared" si="6"/>
        <v>51.78886926</v>
      </c>
      <c r="O21" s="26">
        <v>105774.0</v>
      </c>
      <c r="P21" s="31">
        <f t="shared" si="7"/>
        <v>15.1688197</v>
      </c>
      <c r="Q21" s="26">
        <v>34900.0</v>
      </c>
      <c r="R21" s="31">
        <f t="shared" si="8"/>
        <v>5.004933229</v>
      </c>
      <c r="S21" s="26">
        <v>99983.0</v>
      </c>
      <c r="T21" s="31">
        <f t="shared" si="9"/>
        <v>14.33834496</v>
      </c>
      <c r="U21" s="26">
        <v>3025.0</v>
      </c>
      <c r="V21" s="31">
        <f t="shared" si="10"/>
        <v>0.4338086825</v>
      </c>
    </row>
    <row r="22" ht="15.75" customHeight="1">
      <c r="A22" s="25" t="s">
        <v>59</v>
      </c>
      <c r="B22" s="26">
        <v>989706.0</v>
      </c>
      <c r="C22" s="26">
        <v>184760.0</v>
      </c>
      <c r="D22" s="31">
        <f t="shared" si="1"/>
        <v>18.66817014</v>
      </c>
      <c r="E22" s="26">
        <v>18858.0</v>
      </c>
      <c r="F22" s="31">
        <f t="shared" si="2"/>
        <v>1.905414335</v>
      </c>
      <c r="G22" s="26">
        <v>3086.0</v>
      </c>
      <c r="H22" s="31">
        <f t="shared" si="3"/>
        <v>0.3118097698</v>
      </c>
      <c r="I22" s="26">
        <v>6487.0</v>
      </c>
      <c r="J22" s="31">
        <f t="shared" si="4"/>
        <v>0.6554471732</v>
      </c>
      <c r="K22" s="26">
        <v>47572.0</v>
      </c>
      <c r="L22" s="31">
        <f t="shared" si="5"/>
        <v>4.806679964</v>
      </c>
      <c r="M22" s="26">
        <v>468114.0</v>
      </c>
      <c r="N22" s="31">
        <f t="shared" si="6"/>
        <v>47.29828858</v>
      </c>
      <c r="O22" s="26">
        <v>495286.0</v>
      </c>
      <c r="P22" s="31">
        <f t="shared" si="7"/>
        <v>50.04375037</v>
      </c>
      <c r="Q22" s="26">
        <v>68535.0</v>
      </c>
      <c r="R22" s="31">
        <f t="shared" si="8"/>
        <v>6.924783724</v>
      </c>
      <c r="S22" s="26">
        <v>20485.0</v>
      </c>
      <c r="T22" s="31">
        <f t="shared" si="9"/>
        <v>2.069806589</v>
      </c>
      <c r="U22" s="26">
        <v>1387.0</v>
      </c>
      <c r="V22" s="31">
        <f t="shared" si="10"/>
        <v>0.1401426282</v>
      </c>
    </row>
    <row r="23" ht="15.75" customHeight="1">
      <c r="A23" s="25" t="s">
        <v>60</v>
      </c>
      <c r="B23" s="26">
        <v>1109807.0</v>
      </c>
      <c r="C23" s="26">
        <v>354767.0</v>
      </c>
      <c r="D23" s="31">
        <f t="shared" si="1"/>
        <v>31.96654914</v>
      </c>
      <c r="E23" s="26">
        <v>1869.0</v>
      </c>
      <c r="F23" s="31">
        <f t="shared" si="2"/>
        <v>0.1684076601</v>
      </c>
      <c r="G23" s="26">
        <v>3261.0</v>
      </c>
      <c r="H23" s="31">
        <f t="shared" si="3"/>
        <v>0.293834874</v>
      </c>
      <c r="I23" s="26">
        <v>1743.0</v>
      </c>
      <c r="J23" s="31">
        <f t="shared" si="4"/>
        <v>0.1570543347</v>
      </c>
      <c r="K23" s="26">
        <v>33255.0</v>
      </c>
      <c r="L23" s="31">
        <f t="shared" si="5"/>
        <v>2.996466953</v>
      </c>
      <c r="M23" s="26">
        <v>413024.0</v>
      </c>
      <c r="N23" s="31">
        <f t="shared" si="6"/>
        <v>37.21584023</v>
      </c>
      <c r="O23" s="26">
        <v>306713.0</v>
      </c>
      <c r="P23" s="31">
        <f t="shared" si="7"/>
        <v>27.63660709</v>
      </c>
      <c r="Q23" s="26">
        <v>230879.0</v>
      </c>
      <c r="R23" s="31">
        <f t="shared" si="8"/>
        <v>20.8035271</v>
      </c>
      <c r="S23" s="26">
        <v>14070.0</v>
      </c>
      <c r="T23" s="31">
        <f t="shared" si="9"/>
        <v>1.267788003</v>
      </c>
      <c r="U23" s="26">
        <v>28156.0</v>
      </c>
      <c r="V23" s="31">
        <f t="shared" si="10"/>
        <v>2.537017698</v>
      </c>
    </row>
    <row r="24" ht="15.75" customHeight="1">
      <c r="A24" s="25" t="s">
        <v>63</v>
      </c>
      <c r="B24" s="26">
        <v>955030.0</v>
      </c>
      <c r="C24" s="26">
        <v>234588.0</v>
      </c>
      <c r="D24" s="31">
        <f t="shared" si="1"/>
        <v>24.56341686</v>
      </c>
      <c r="E24" s="26">
        <v>6914.0</v>
      </c>
      <c r="F24" s="31">
        <f t="shared" si="2"/>
        <v>0.7239563155</v>
      </c>
      <c r="G24" s="26">
        <v>1557.0</v>
      </c>
      <c r="H24" s="31">
        <f t="shared" si="3"/>
        <v>0.1630315278</v>
      </c>
      <c r="I24" s="26">
        <v>3529.0</v>
      </c>
      <c r="J24" s="31">
        <f t="shared" si="4"/>
        <v>0.3695171879</v>
      </c>
      <c r="K24" s="26">
        <v>16540.0</v>
      </c>
      <c r="L24" s="31">
        <f t="shared" si="5"/>
        <v>1.731882768</v>
      </c>
      <c r="M24" s="26">
        <v>571195.0</v>
      </c>
      <c r="N24" s="31">
        <f t="shared" si="6"/>
        <v>59.80911594</v>
      </c>
      <c r="O24" s="26">
        <v>397122.0</v>
      </c>
      <c r="P24" s="31">
        <f t="shared" si="7"/>
        <v>41.58214925</v>
      </c>
      <c r="Q24" s="26">
        <v>66655.0</v>
      </c>
      <c r="R24" s="31">
        <f t="shared" si="8"/>
        <v>6.979361905</v>
      </c>
      <c r="S24" s="26">
        <v>23279.0</v>
      </c>
      <c r="T24" s="31">
        <f t="shared" si="9"/>
        <v>2.437515052</v>
      </c>
      <c r="U24" s="26">
        <v>2071.0</v>
      </c>
      <c r="V24" s="31">
        <f t="shared" si="10"/>
        <v>0.2168518266</v>
      </c>
    </row>
    <row r="25" ht="15.75" customHeight="1">
      <c r="A25" s="25" t="s">
        <v>64</v>
      </c>
      <c r="B25" s="26">
        <v>555181.0</v>
      </c>
      <c r="C25" s="26">
        <v>185977.0</v>
      </c>
      <c r="D25" s="31">
        <f t="shared" si="1"/>
        <v>33.49844465</v>
      </c>
      <c r="E25" s="26">
        <v>219.0</v>
      </c>
      <c r="F25" s="31">
        <f t="shared" si="2"/>
        <v>0.03944659489</v>
      </c>
      <c r="G25" s="26">
        <v>986.0</v>
      </c>
      <c r="H25" s="31">
        <f t="shared" si="3"/>
        <v>0.1775997377</v>
      </c>
      <c r="I25" s="26">
        <v>672.0</v>
      </c>
      <c r="J25" s="31">
        <f t="shared" si="4"/>
        <v>0.1210416063</v>
      </c>
      <c r="K25" s="26">
        <v>8234.0</v>
      </c>
      <c r="L25" s="31">
        <f t="shared" si="5"/>
        <v>1.483119919</v>
      </c>
      <c r="M25" s="26">
        <v>247165.0</v>
      </c>
      <c r="N25" s="31">
        <f t="shared" si="6"/>
        <v>44.51971519</v>
      </c>
      <c r="O25" s="26">
        <v>243781.0</v>
      </c>
      <c r="P25" s="31">
        <f t="shared" si="7"/>
        <v>43.91018425</v>
      </c>
      <c r="Q25" s="26">
        <v>24069.0</v>
      </c>
      <c r="R25" s="31">
        <f t="shared" si="8"/>
        <v>4.335342888</v>
      </c>
      <c r="S25" s="26">
        <v>7340.0</v>
      </c>
      <c r="T25" s="31">
        <f t="shared" si="9"/>
        <v>1.322091354</v>
      </c>
      <c r="U25" s="26">
        <v>296.0</v>
      </c>
      <c r="V25" s="31">
        <f t="shared" si="10"/>
        <v>0.05331594561</v>
      </c>
    </row>
    <row r="26" ht="15.75" customHeight="1">
      <c r="A26" s="25" t="s">
        <v>65</v>
      </c>
      <c r="B26" s="26">
        <v>497769.0</v>
      </c>
      <c r="C26" s="26">
        <v>264319.0</v>
      </c>
      <c r="D26" s="31">
        <f t="shared" si="1"/>
        <v>53.10073548</v>
      </c>
      <c r="E26" s="26">
        <v>5420.0</v>
      </c>
      <c r="F26" s="31">
        <f t="shared" si="2"/>
        <v>1.088858487</v>
      </c>
      <c r="G26" s="26">
        <v>23580.0</v>
      </c>
      <c r="H26" s="31">
        <f t="shared" si="3"/>
        <v>4.737137106</v>
      </c>
      <c r="I26" s="26">
        <v>23580.0</v>
      </c>
      <c r="J26" s="31">
        <f t="shared" si="4"/>
        <v>4.737137106</v>
      </c>
      <c r="K26" s="26">
        <v>492.0</v>
      </c>
      <c r="L26" s="31">
        <f t="shared" si="5"/>
        <v>0.09884102867</v>
      </c>
      <c r="M26" s="26">
        <v>27473.0</v>
      </c>
      <c r="N26" s="31">
        <f t="shared" si="6"/>
        <v>5.51922679</v>
      </c>
      <c r="O26" s="26">
        <v>171869.0</v>
      </c>
      <c r="P26" s="31">
        <f t="shared" si="7"/>
        <v>34.52786333</v>
      </c>
      <c r="Q26" s="26">
        <v>8126.0</v>
      </c>
      <c r="R26" s="31">
        <f t="shared" si="8"/>
        <v>1.632484144</v>
      </c>
      <c r="S26" s="26">
        <v>1814.0</v>
      </c>
      <c r="T26" s="31">
        <f t="shared" si="9"/>
        <v>0.3644260691</v>
      </c>
      <c r="U26" s="26">
        <v>494.0</v>
      </c>
      <c r="V26" s="31">
        <f t="shared" si="10"/>
        <v>0.09924282147</v>
      </c>
    </row>
    <row r="27" ht="15.75" customHeight="1">
      <c r="A27" s="28"/>
      <c r="B27" s="28"/>
      <c r="C27" s="28"/>
      <c r="D27" s="28"/>
      <c r="E27" s="28"/>
      <c r="F27" s="28"/>
      <c r="G27" s="28"/>
      <c r="H27" s="28"/>
      <c r="I27" s="28"/>
      <c r="J27" s="28"/>
      <c r="K27" s="28"/>
      <c r="L27" s="28"/>
      <c r="M27" s="28"/>
      <c r="N27" s="28"/>
      <c r="O27" s="28"/>
      <c r="P27" s="28"/>
      <c r="Q27" s="28"/>
      <c r="R27" s="28"/>
      <c r="S27" s="28"/>
      <c r="T27" s="28"/>
      <c r="U27" s="28"/>
      <c r="V27" s="28"/>
    </row>
    <row r="28" ht="15.75" customHeight="1">
      <c r="A28" s="8"/>
      <c r="B28" s="9"/>
      <c r="C28" s="9"/>
      <c r="D28" s="9"/>
    </row>
    <row r="29" ht="15.75" customHeight="1">
      <c r="A29" s="8"/>
      <c r="B29" s="9"/>
      <c r="C29" s="9"/>
      <c r="D29" s="9"/>
    </row>
    <row r="30" ht="15.75" customHeight="1">
      <c r="A30" s="10" t="s">
        <v>13</v>
      </c>
      <c r="B30" s="12">
        <v>2024.0</v>
      </c>
      <c r="C30" s="14"/>
      <c r="D30" s="14"/>
      <c r="E30" s="14"/>
      <c r="F30" s="14"/>
      <c r="G30" s="14"/>
      <c r="H30" s="14"/>
      <c r="I30" s="14"/>
      <c r="J30" s="14"/>
      <c r="K30" s="14"/>
      <c r="L30" s="14"/>
      <c r="M30" s="14"/>
      <c r="N30" s="14"/>
      <c r="O30" s="14"/>
      <c r="P30" s="14"/>
      <c r="Q30" s="14"/>
      <c r="R30" s="14"/>
      <c r="S30" s="14"/>
      <c r="T30" s="14"/>
      <c r="U30" s="14"/>
      <c r="V30" s="14"/>
      <c r="W30" s="14"/>
      <c r="X30" s="14"/>
      <c r="Y30" s="14"/>
      <c r="Z30" s="14"/>
      <c r="AA30" s="14"/>
      <c r="AB30" s="15"/>
    </row>
    <row r="31" ht="15.0" customHeight="1">
      <c r="A31" s="17"/>
      <c r="B31" s="21" t="s">
        <v>308</v>
      </c>
      <c r="C31" s="42" t="s">
        <v>309</v>
      </c>
      <c r="D31" s="14"/>
      <c r="E31" s="14"/>
      <c r="F31" s="14"/>
      <c r="G31" s="14"/>
      <c r="H31" s="14"/>
      <c r="I31" s="14"/>
      <c r="J31" s="14"/>
      <c r="K31" s="14"/>
      <c r="L31" s="14"/>
      <c r="M31" s="14"/>
      <c r="N31" s="14"/>
      <c r="O31" s="14"/>
      <c r="P31" s="14"/>
      <c r="Q31" s="14"/>
      <c r="R31" s="14"/>
      <c r="S31" s="14"/>
      <c r="T31" s="14"/>
      <c r="U31" s="14"/>
      <c r="V31" s="14"/>
      <c r="W31" s="14"/>
      <c r="X31" s="14"/>
      <c r="Y31" s="14"/>
      <c r="Z31" s="14"/>
      <c r="AA31" s="14"/>
      <c r="AB31" s="15"/>
    </row>
    <row r="32" ht="45.0" customHeight="1">
      <c r="A32" s="17"/>
      <c r="B32" s="17"/>
      <c r="C32" s="13" t="s">
        <v>310</v>
      </c>
      <c r="D32" s="15"/>
      <c r="E32" s="13" t="s">
        <v>311</v>
      </c>
      <c r="F32" s="15"/>
      <c r="G32" s="13" t="s">
        <v>312</v>
      </c>
      <c r="H32" s="15"/>
      <c r="I32" s="13" t="s">
        <v>313</v>
      </c>
      <c r="J32" s="15"/>
      <c r="K32" s="13" t="s">
        <v>314</v>
      </c>
      <c r="L32" s="15"/>
      <c r="M32" s="13" t="s">
        <v>315</v>
      </c>
      <c r="N32" s="15"/>
      <c r="O32" s="13" t="s">
        <v>316</v>
      </c>
      <c r="P32" s="15"/>
      <c r="Q32" s="13" t="s">
        <v>325</v>
      </c>
      <c r="R32" s="15"/>
      <c r="S32" s="13" t="s">
        <v>331</v>
      </c>
      <c r="T32" s="15"/>
      <c r="U32" s="13" t="s">
        <v>332</v>
      </c>
      <c r="V32" s="15"/>
      <c r="W32" s="13" t="s">
        <v>317</v>
      </c>
      <c r="X32" s="15"/>
      <c r="Y32" s="13" t="s">
        <v>318</v>
      </c>
      <c r="Z32" s="15"/>
      <c r="AA32" s="13" t="s">
        <v>170</v>
      </c>
      <c r="AB32" s="15"/>
    </row>
    <row r="33" ht="15.75" customHeight="1">
      <c r="A33" s="18"/>
      <c r="B33" s="18"/>
      <c r="C33" s="24" t="s">
        <v>37</v>
      </c>
      <c r="D33" s="24" t="s">
        <v>39</v>
      </c>
      <c r="E33" s="24" t="s">
        <v>37</v>
      </c>
      <c r="F33" s="24" t="s">
        <v>39</v>
      </c>
      <c r="G33" s="24" t="s">
        <v>37</v>
      </c>
      <c r="H33" s="24" t="s">
        <v>39</v>
      </c>
      <c r="I33" s="24" t="s">
        <v>37</v>
      </c>
      <c r="J33" s="24" t="s">
        <v>39</v>
      </c>
      <c r="K33" s="24" t="s">
        <v>37</v>
      </c>
      <c r="L33" s="24" t="s">
        <v>39</v>
      </c>
      <c r="M33" s="24" t="s">
        <v>37</v>
      </c>
      <c r="N33" s="24" t="s">
        <v>39</v>
      </c>
      <c r="O33" s="24" t="s">
        <v>37</v>
      </c>
      <c r="P33" s="24" t="s">
        <v>39</v>
      </c>
      <c r="Q33" s="24" t="s">
        <v>37</v>
      </c>
      <c r="R33" s="24" t="s">
        <v>39</v>
      </c>
      <c r="S33" s="24" t="s">
        <v>37</v>
      </c>
      <c r="T33" s="24" t="s">
        <v>39</v>
      </c>
      <c r="U33" s="24" t="s">
        <v>37</v>
      </c>
      <c r="V33" s="24" t="s">
        <v>39</v>
      </c>
      <c r="W33" s="24" t="s">
        <v>37</v>
      </c>
      <c r="X33" s="24" t="s">
        <v>39</v>
      </c>
      <c r="Y33" s="24" t="s">
        <v>37</v>
      </c>
      <c r="Z33" s="24" t="s">
        <v>39</v>
      </c>
      <c r="AA33" s="24" t="s">
        <v>37</v>
      </c>
      <c r="AB33" s="24" t="s">
        <v>39</v>
      </c>
    </row>
    <row r="34" ht="15.75" customHeight="1">
      <c r="A34" s="16"/>
      <c r="B34" s="20"/>
      <c r="C34" s="20"/>
      <c r="D34" s="20"/>
      <c r="E34" s="20"/>
      <c r="F34" s="20"/>
      <c r="G34" s="20"/>
      <c r="H34" s="20"/>
      <c r="I34" s="20"/>
      <c r="J34" s="20"/>
      <c r="K34" s="20"/>
      <c r="L34" s="20"/>
      <c r="M34" s="20"/>
      <c r="N34" s="20"/>
      <c r="O34" s="20"/>
      <c r="P34" s="20"/>
      <c r="Q34" s="20"/>
      <c r="R34" s="20"/>
      <c r="S34" s="20"/>
      <c r="T34" s="20"/>
      <c r="U34" s="20"/>
      <c r="V34" s="20"/>
      <c r="W34" s="20"/>
      <c r="X34" s="20"/>
      <c r="Y34" s="20"/>
      <c r="Z34" s="20"/>
      <c r="AA34" s="20"/>
      <c r="AB34" s="20"/>
    </row>
    <row r="35" ht="15.75" customHeight="1">
      <c r="A35" s="22" t="s">
        <v>33</v>
      </c>
      <c r="B35" s="23">
        <v>1.4238011E7</v>
      </c>
      <c r="C35" s="23">
        <v>1590818.0</v>
      </c>
      <c r="D35" s="27">
        <f t="shared" ref="D35:D52" si="11">(C35/$B35)*100</f>
        <v>11.17303533</v>
      </c>
      <c r="E35" s="23">
        <v>339642.0</v>
      </c>
      <c r="F35" s="27">
        <f t="shared" ref="F35:F52" si="12">(E35/$B35)*100</f>
        <v>2.385459598</v>
      </c>
      <c r="G35" s="23">
        <v>244453.0</v>
      </c>
      <c r="H35" s="27">
        <f t="shared" ref="H35:H52" si="13">(G35/$B35)*100</f>
        <v>1.716904138</v>
      </c>
      <c r="I35" s="23">
        <v>290144.0</v>
      </c>
      <c r="J35" s="27">
        <f t="shared" ref="J35:J52" si="14">(I35/$B35)*100</f>
        <v>2.037812725</v>
      </c>
      <c r="K35" s="23">
        <v>2912581.0</v>
      </c>
      <c r="L35" s="27">
        <f t="shared" ref="L35:L52" si="15">(K35/$B35)*100</f>
        <v>20.45637554</v>
      </c>
      <c r="M35" s="23">
        <v>8299865.0</v>
      </c>
      <c r="N35" s="27">
        <f t="shared" ref="N35:N52" si="16">(M35/$B35)*100</f>
        <v>58.29371111</v>
      </c>
      <c r="O35" s="23">
        <v>5338451.0</v>
      </c>
      <c r="P35" s="27">
        <f t="shared" ref="P35:P52" si="17">(O35/$B35)*100</f>
        <v>37.49435929</v>
      </c>
      <c r="Q35" s="23">
        <v>1333917.0</v>
      </c>
      <c r="R35" s="27">
        <f t="shared" ref="R35:R52" si="18">(Q35/$B35)*100</f>
        <v>9.368703255</v>
      </c>
      <c r="S35" s="23">
        <v>1688615.0</v>
      </c>
      <c r="T35" s="27">
        <f t="shared" ref="T35:T52" si="19">(S35/$B35)*100</f>
        <v>11.85990796</v>
      </c>
      <c r="U35" s="23">
        <v>797373.0</v>
      </c>
      <c r="V35" s="27">
        <f t="shared" ref="V35:V52" si="20">(U35/$B35)*100</f>
        <v>5.600311729</v>
      </c>
      <c r="W35" s="23">
        <v>1119335.0</v>
      </c>
      <c r="X35" s="27">
        <f t="shared" ref="X35:X52" si="21">(W35/$B35)*100</f>
        <v>7.861596679</v>
      </c>
      <c r="Y35" s="23">
        <v>4387963.0</v>
      </c>
      <c r="Z35" s="27">
        <f t="shared" ref="Z35:Z52" si="22">(Y35/$B35)*100</f>
        <v>30.81865157</v>
      </c>
      <c r="AA35" s="23">
        <v>328951.0</v>
      </c>
      <c r="AB35" s="27">
        <f t="shared" ref="AB35:AB52" si="23">(AA35/$B35)*100</f>
        <v>2.310371863</v>
      </c>
    </row>
    <row r="36" ht="15.75" customHeight="1">
      <c r="A36" s="25" t="s">
        <v>38</v>
      </c>
      <c r="B36" s="26">
        <v>1149454.0</v>
      </c>
      <c r="C36" s="26">
        <v>14445.0</v>
      </c>
      <c r="D36" s="31">
        <f t="shared" si="11"/>
        <v>1.256683608</v>
      </c>
      <c r="E36" s="26">
        <v>32323.0</v>
      </c>
      <c r="F36" s="31">
        <f t="shared" si="12"/>
        <v>2.812030755</v>
      </c>
      <c r="G36" s="26">
        <v>14030.0</v>
      </c>
      <c r="H36" s="31">
        <f t="shared" si="13"/>
        <v>1.22057951</v>
      </c>
      <c r="I36" s="26">
        <v>20602.0</v>
      </c>
      <c r="J36" s="31">
        <f t="shared" si="14"/>
        <v>1.792329228</v>
      </c>
      <c r="K36" s="26">
        <v>172397.0</v>
      </c>
      <c r="L36" s="31">
        <f t="shared" si="15"/>
        <v>14.99816435</v>
      </c>
      <c r="M36" s="26">
        <v>817652.0</v>
      </c>
      <c r="N36" s="31">
        <f t="shared" si="16"/>
        <v>71.13394707</v>
      </c>
      <c r="O36" s="26">
        <v>302201.0</v>
      </c>
      <c r="P36" s="31">
        <f t="shared" si="17"/>
        <v>26.29083026</v>
      </c>
      <c r="Q36" s="26">
        <v>47997.0</v>
      </c>
      <c r="R36" s="31">
        <f t="shared" si="18"/>
        <v>4.175634693</v>
      </c>
      <c r="S36" s="26">
        <v>44867.0</v>
      </c>
      <c r="T36" s="31">
        <f t="shared" si="19"/>
        <v>3.903331495</v>
      </c>
      <c r="U36" s="26">
        <v>21226.0</v>
      </c>
      <c r="V36" s="31">
        <f t="shared" si="20"/>
        <v>1.846615872</v>
      </c>
      <c r="W36" s="26">
        <v>100527.0</v>
      </c>
      <c r="X36" s="31">
        <f t="shared" si="21"/>
        <v>8.745630534</v>
      </c>
      <c r="Y36" s="26">
        <v>471699.0</v>
      </c>
      <c r="Z36" s="31">
        <f t="shared" si="22"/>
        <v>41.0367879</v>
      </c>
      <c r="AA36" s="26">
        <v>5088.0</v>
      </c>
      <c r="AB36" s="31">
        <f t="shared" si="23"/>
        <v>0.4426449427</v>
      </c>
    </row>
    <row r="37" ht="15.75" customHeight="1">
      <c r="A37" s="25" t="s">
        <v>41</v>
      </c>
      <c r="B37" s="26">
        <v>219137.0</v>
      </c>
      <c r="C37" s="26">
        <v>27454.0</v>
      </c>
      <c r="D37" s="31">
        <f t="shared" si="11"/>
        <v>12.52823576</v>
      </c>
      <c r="E37" s="26">
        <v>5544.0</v>
      </c>
      <c r="F37" s="31">
        <f t="shared" si="12"/>
        <v>2.529924203</v>
      </c>
      <c r="G37" s="26">
        <v>2929.0</v>
      </c>
      <c r="H37" s="31">
        <f t="shared" si="13"/>
        <v>1.33660678</v>
      </c>
      <c r="I37" s="26">
        <v>3182.0</v>
      </c>
      <c r="J37" s="31">
        <f t="shared" si="14"/>
        <v>1.45205967</v>
      </c>
      <c r="K37" s="26">
        <v>35713.0</v>
      </c>
      <c r="L37" s="31">
        <f t="shared" si="15"/>
        <v>16.29711094</v>
      </c>
      <c r="M37" s="26">
        <v>88324.0</v>
      </c>
      <c r="N37" s="31">
        <f t="shared" si="16"/>
        <v>40.30537974</v>
      </c>
      <c r="O37" s="26">
        <v>69218.0</v>
      </c>
      <c r="P37" s="31">
        <f t="shared" si="17"/>
        <v>31.58663302</v>
      </c>
      <c r="Q37" s="26">
        <v>22081.0</v>
      </c>
      <c r="R37" s="31">
        <f t="shared" si="18"/>
        <v>10.07634493</v>
      </c>
      <c r="S37" s="26">
        <v>44808.0</v>
      </c>
      <c r="T37" s="31">
        <f t="shared" si="19"/>
        <v>20.44748263</v>
      </c>
      <c r="U37" s="26">
        <v>23287.0</v>
      </c>
      <c r="V37" s="31">
        <f t="shared" si="20"/>
        <v>10.62668559</v>
      </c>
      <c r="W37" s="26">
        <v>16073.0</v>
      </c>
      <c r="X37" s="31">
        <f t="shared" si="21"/>
        <v>7.334681044</v>
      </c>
      <c r="Y37" s="26">
        <v>109979.0</v>
      </c>
      <c r="Z37" s="31">
        <f t="shared" si="22"/>
        <v>50.18732574</v>
      </c>
      <c r="AA37" s="26">
        <v>219.0</v>
      </c>
      <c r="AB37" s="31">
        <f t="shared" si="23"/>
        <v>0.09993748203</v>
      </c>
    </row>
    <row r="38" ht="15.75" customHeight="1">
      <c r="A38" s="25" t="s">
        <v>43</v>
      </c>
      <c r="B38" s="26">
        <v>550450.0</v>
      </c>
      <c r="C38" s="26">
        <v>11148.0</v>
      </c>
      <c r="D38" s="31">
        <f t="shared" si="11"/>
        <v>2.025252066</v>
      </c>
      <c r="E38" s="26">
        <v>881.0</v>
      </c>
      <c r="F38" s="31">
        <f t="shared" si="12"/>
        <v>0.1600508675</v>
      </c>
      <c r="G38" s="26">
        <v>677.0</v>
      </c>
      <c r="H38" s="31">
        <f t="shared" si="13"/>
        <v>0.1229902807</v>
      </c>
      <c r="I38" s="26">
        <v>7078.0</v>
      </c>
      <c r="J38" s="31">
        <f t="shared" si="14"/>
        <v>1.285857026</v>
      </c>
      <c r="K38" s="26">
        <v>50698.0</v>
      </c>
      <c r="L38" s="31">
        <f t="shared" si="15"/>
        <v>9.210282496</v>
      </c>
      <c r="M38" s="26">
        <v>290007.0</v>
      </c>
      <c r="N38" s="31">
        <f t="shared" si="16"/>
        <v>52.68543919</v>
      </c>
      <c r="O38" s="26">
        <v>164485.0</v>
      </c>
      <c r="P38" s="31">
        <f t="shared" si="17"/>
        <v>29.8819148</v>
      </c>
      <c r="Q38" s="26">
        <v>27550.0</v>
      </c>
      <c r="R38" s="31">
        <f t="shared" si="18"/>
        <v>5.004995912</v>
      </c>
      <c r="S38" s="26">
        <v>100884.0</v>
      </c>
      <c r="T38" s="31">
        <f t="shared" si="19"/>
        <v>18.32755019</v>
      </c>
      <c r="U38" s="26">
        <v>63523.0</v>
      </c>
      <c r="V38" s="31">
        <f t="shared" si="20"/>
        <v>11.54019439</v>
      </c>
      <c r="W38" s="26">
        <v>70540.0</v>
      </c>
      <c r="X38" s="31">
        <f t="shared" si="21"/>
        <v>12.81496957</v>
      </c>
      <c r="Y38" s="26">
        <v>282377.0</v>
      </c>
      <c r="Z38" s="31">
        <f t="shared" si="22"/>
        <v>51.29930057</v>
      </c>
      <c r="AA38" s="26">
        <v>6383.0</v>
      </c>
      <c r="AB38" s="31">
        <f t="shared" si="23"/>
        <v>1.159596694</v>
      </c>
    </row>
    <row r="39" ht="15.75" customHeight="1">
      <c r="A39" s="25" t="s">
        <v>44</v>
      </c>
      <c r="B39" s="26">
        <v>413508.0</v>
      </c>
      <c r="C39" s="26">
        <v>66636.0</v>
      </c>
      <c r="D39" s="31">
        <f t="shared" si="11"/>
        <v>16.1148031</v>
      </c>
      <c r="E39" s="26">
        <v>9508.0</v>
      </c>
      <c r="F39" s="31">
        <f t="shared" si="12"/>
        <v>2.299350919</v>
      </c>
      <c r="G39" s="26">
        <v>5627.0</v>
      </c>
      <c r="H39" s="31">
        <f t="shared" si="13"/>
        <v>1.360795922</v>
      </c>
      <c r="I39" s="26">
        <v>24144.0</v>
      </c>
      <c r="J39" s="31">
        <f t="shared" si="14"/>
        <v>5.838822949</v>
      </c>
      <c r="K39" s="26">
        <v>109582.0</v>
      </c>
      <c r="L39" s="31">
        <f t="shared" si="15"/>
        <v>26.50057556</v>
      </c>
      <c r="M39" s="26">
        <v>224629.0</v>
      </c>
      <c r="N39" s="31">
        <f t="shared" si="16"/>
        <v>54.32277006</v>
      </c>
      <c r="O39" s="26">
        <v>147741.0</v>
      </c>
      <c r="P39" s="31">
        <f t="shared" si="17"/>
        <v>35.72869207</v>
      </c>
      <c r="Q39" s="26">
        <v>44643.0</v>
      </c>
      <c r="R39" s="31">
        <f t="shared" si="18"/>
        <v>10.79616356</v>
      </c>
      <c r="S39" s="26">
        <v>86891.0</v>
      </c>
      <c r="T39" s="31">
        <f t="shared" si="19"/>
        <v>21.01313638</v>
      </c>
      <c r="U39" s="26">
        <v>45675.0</v>
      </c>
      <c r="V39" s="31">
        <f t="shared" si="20"/>
        <v>11.04573551</v>
      </c>
      <c r="W39" s="26">
        <v>25385.0</v>
      </c>
      <c r="X39" s="31">
        <f t="shared" si="21"/>
        <v>6.138938062</v>
      </c>
      <c r="Y39" s="26">
        <v>120510.0</v>
      </c>
      <c r="Z39" s="31">
        <f t="shared" si="22"/>
        <v>29.14332975</v>
      </c>
      <c r="AA39" s="26">
        <v>2245.0</v>
      </c>
      <c r="AB39" s="31">
        <f t="shared" si="23"/>
        <v>0.5429157356</v>
      </c>
    </row>
    <row r="40" ht="15.75" customHeight="1">
      <c r="A40" s="25" t="s">
        <v>46</v>
      </c>
      <c r="B40" s="26">
        <v>1222146.0</v>
      </c>
      <c r="C40" s="26">
        <v>103419.0</v>
      </c>
      <c r="D40" s="31">
        <f t="shared" si="11"/>
        <v>8.462082272</v>
      </c>
      <c r="E40" s="26">
        <v>29486.0</v>
      </c>
      <c r="F40" s="31">
        <f t="shared" si="12"/>
        <v>2.41264137</v>
      </c>
      <c r="G40" s="26">
        <v>14780.0</v>
      </c>
      <c r="H40" s="31">
        <f t="shared" si="13"/>
        <v>1.209348147</v>
      </c>
      <c r="I40" s="26">
        <v>32165.0</v>
      </c>
      <c r="J40" s="31">
        <f t="shared" si="14"/>
        <v>2.63184595</v>
      </c>
      <c r="K40" s="26">
        <v>186895.0</v>
      </c>
      <c r="L40" s="31">
        <f t="shared" si="15"/>
        <v>15.29236278</v>
      </c>
      <c r="M40" s="26">
        <v>696845.0</v>
      </c>
      <c r="N40" s="31">
        <f t="shared" si="16"/>
        <v>57.01814677</v>
      </c>
      <c r="O40" s="26">
        <v>427458.0</v>
      </c>
      <c r="P40" s="31">
        <f t="shared" si="17"/>
        <v>34.9760176</v>
      </c>
      <c r="Q40" s="26">
        <v>59585.0</v>
      </c>
      <c r="R40" s="31">
        <f t="shared" si="18"/>
        <v>4.875440414</v>
      </c>
      <c r="S40" s="26">
        <v>117340.0</v>
      </c>
      <c r="T40" s="31">
        <f t="shared" si="19"/>
        <v>9.601144217</v>
      </c>
      <c r="U40" s="26">
        <v>59215.0</v>
      </c>
      <c r="V40" s="31">
        <f t="shared" si="20"/>
        <v>4.845165799</v>
      </c>
      <c r="W40" s="26">
        <v>93793.0</v>
      </c>
      <c r="X40" s="31">
        <f t="shared" si="21"/>
        <v>7.674451334</v>
      </c>
      <c r="Y40" s="26">
        <v>413158.0</v>
      </c>
      <c r="Z40" s="31">
        <f t="shared" si="22"/>
        <v>33.80594463</v>
      </c>
      <c r="AA40" s="26">
        <v>91938.0</v>
      </c>
      <c r="AB40" s="31">
        <f t="shared" si="23"/>
        <v>7.522669141</v>
      </c>
    </row>
    <row r="41" ht="15.75" customHeight="1">
      <c r="A41" s="25" t="s">
        <v>48</v>
      </c>
      <c r="B41" s="26">
        <v>2045833.0</v>
      </c>
      <c r="C41" s="26">
        <v>300864.0</v>
      </c>
      <c r="D41" s="31">
        <f t="shared" si="11"/>
        <v>14.7061857</v>
      </c>
      <c r="E41" s="26">
        <v>17966.0</v>
      </c>
      <c r="F41" s="31">
        <f t="shared" si="12"/>
        <v>0.8781752958</v>
      </c>
      <c r="G41" s="26">
        <v>15803.0</v>
      </c>
      <c r="H41" s="31">
        <f t="shared" si="13"/>
        <v>0.772448191</v>
      </c>
      <c r="I41" s="26">
        <v>34980.0</v>
      </c>
      <c r="J41" s="31">
        <f t="shared" si="14"/>
        <v>1.709816979</v>
      </c>
      <c r="K41" s="26">
        <v>334020.0</v>
      </c>
      <c r="L41" s="31">
        <f t="shared" si="15"/>
        <v>16.32684584</v>
      </c>
      <c r="M41" s="26">
        <v>1395628.0</v>
      </c>
      <c r="N41" s="31">
        <f t="shared" si="16"/>
        <v>68.21808036</v>
      </c>
      <c r="O41" s="26">
        <v>460650.0</v>
      </c>
      <c r="P41" s="31">
        <f t="shared" si="17"/>
        <v>22.51650061</v>
      </c>
      <c r="Q41" s="26">
        <v>80074.0</v>
      </c>
      <c r="R41" s="31">
        <f t="shared" si="18"/>
        <v>3.914004711</v>
      </c>
      <c r="S41" s="26">
        <v>143966.0</v>
      </c>
      <c r="T41" s="31">
        <f t="shared" si="19"/>
        <v>7.03703577</v>
      </c>
      <c r="U41" s="26">
        <v>28023.0</v>
      </c>
      <c r="V41" s="31">
        <f t="shared" si="20"/>
        <v>1.369759897</v>
      </c>
      <c r="W41" s="26">
        <v>132743.0</v>
      </c>
      <c r="X41" s="31">
        <f t="shared" si="21"/>
        <v>6.488457269</v>
      </c>
      <c r="Y41" s="26">
        <v>757258.0</v>
      </c>
      <c r="Z41" s="31">
        <f t="shared" si="22"/>
        <v>37.01465369</v>
      </c>
      <c r="AA41" s="26">
        <v>10062.0</v>
      </c>
      <c r="AB41" s="31">
        <f t="shared" si="23"/>
        <v>0.4918290007</v>
      </c>
    </row>
    <row r="42" ht="15.75" customHeight="1">
      <c r="A42" s="25" t="s">
        <v>50</v>
      </c>
      <c r="B42" s="26">
        <v>572477.0</v>
      </c>
      <c r="C42" s="26">
        <v>109980.0</v>
      </c>
      <c r="D42" s="31">
        <f t="shared" si="11"/>
        <v>19.21125216</v>
      </c>
      <c r="E42" s="26">
        <v>3978.0</v>
      </c>
      <c r="F42" s="31">
        <f t="shared" si="12"/>
        <v>0.694875078</v>
      </c>
      <c r="G42" s="26">
        <v>2154.0</v>
      </c>
      <c r="H42" s="31">
        <f t="shared" si="13"/>
        <v>0.3762596576</v>
      </c>
      <c r="I42" s="26">
        <v>6876.0</v>
      </c>
      <c r="J42" s="31">
        <f t="shared" si="14"/>
        <v>1.201096289</v>
      </c>
      <c r="K42" s="26">
        <v>109816.0</v>
      </c>
      <c r="L42" s="31">
        <f t="shared" si="15"/>
        <v>19.18260472</v>
      </c>
      <c r="M42" s="26">
        <v>163936.0</v>
      </c>
      <c r="N42" s="31">
        <f t="shared" si="16"/>
        <v>28.63625962</v>
      </c>
      <c r="O42" s="26">
        <v>119310.0</v>
      </c>
      <c r="P42" s="31">
        <f t="shared" si="17"/>
        <v>20.84101195</v>
      </c>
      <c r="Q42" s="26">
        <v>65767.0</v>
      </c>
      <c r="R42" s="31">
        <f t="shared" si="18"/>
        <v>11.48814712</v>
      </c>
      <c r="S42" s="26">
        <v>77087.0</v>
      </c>
      <c r="T42" s="31">
        <f t="shared" si="19"/>
        <v>13.46551914</v>
      </c>
      <c r="U42" s="26">
        <v>33062.0</v>
      </c>
      <c r="V42" s="31">
        <f t="shared" si="20"/>
        <v>5.775253853</v>
      </c>
      <c r="W42" s="26">
        <v>19712.0</v>
      </c>
      <c r="X42" s="31">
        <f t="shared" si="21"/>
        <v>3.443282438</v>
      </c>
      <c r="Y42" s="26">
        <v>252116.0</v>
      </c>
      <c r="Z42" s="31">
        <f t="shared" si="22"/>
        <v>44.03949853</v>
      </c>
      <c r="AA42" s="26">
        <v>39070.0</v>
      </c>
      <c r="AB42" s="31">
        <f t="shared" si="23"/>
        <v>6.82472833</v>
      </c>
    </row>
    <row r="43" ht="15.75" customHeight="1">
      <c r="A43" s="25" t="s">
        <v>51</v>
      </c>
      <c r="B43" s="26">
        <v>819370.0</v>
      </c>
      <c r="C43" s="26">
        <v>84753.0</v>
      </c>
      <c r="D43" s="31">
        <f t="shared" si="11"/>
        <v>10.34367868</v>
      </c>
      <c r="E43" s="26">
        <v>19597.0</v>
      </c>
      <c r="F43" s="31">
        <f t="shared" si="12"/>
        <v>2.391715586</v>
      </c>
      <c r="G43" s="26">
        <v>15005.0</v>
      </c>
      <c r="H43" s="31">
        <f t="shared" si="13"/>
        <v>1.831285012</v>
      </c>
      <c r="I43" s="26">
        <v>8246.0</v>
      </c>
      <c r="J43" s="31">
        <f t="shared" si="14"/>
        <v>1.006382953</v>
      </c>
      <c r="K43" s="26">
        <v>168115.0</v>
      </c>
      <c r="L43" s="31">
        <f t="shared" si="15"/>
        <v>20.51759278</v>
      </c>
      <c r="M43" s="26">
        <v>532441.0</v>
      </c>
      <c r="N43" s="31">
        <f t="shared" si="16"/>
        <v>64.98175427</v>
      </c>
      <c r="O43" s="26">
        <v>335018.0</v>
      </c>
      <c r="P43" s="31">
        <f t="shared" si="17"/>
        <v>40.88726705</v>
      </c>
      <c r="Q43" s="26">
        <v>55475.0</v>
      </c>
      <c r="R43" s="31">
        <f t="shared" si="18"/>
        <v>6.770445586</v>
      </c>
      <c r="S43" s="26">
        <v>95900.0</v>
      </c>
      <c r="T43" s="31">
        <f t="shared" si="19"/>
        <v>11.70411414</v>
      </c>
      <c r="U43" s="26">
        <v>46972.0</v>
      </c>
      <c r="V43" s="31">
        <f t="shared" si="20"/>
        <v>5.732697072</v>
      </c>
      <c r="W43" s="26">
        <v>79361.0</v>
      </c>
      <c r="X43" s="31">
        <f t="shared" si="21"/>
        <v>9.685612117</v>
      </c>
      <c r="Y43" s="26">
        <v>156222.0</v>
      </c>
      <c r="Z43" s="31">
        <f t="shared" si="22"/>
        <v>19.06611177</v>
      </c>
      <c r="AA43" s="26">
        <v>3786.0</v>
      </c>
      <c r="AB43" s="31">
        <f t="shared" si="23"/>
        <v>0.4620623162</v>
      </c>
    </row>
    <row r="44" ht="15.75" customHeight="1">
      <c r="A44" s="25" t="s">
        <v>53</v>
      </c>
      <c r="B44" s="26">
        <v>1211918.0</v>
      </c>
      <c r="C44" s="26">
        <v>134547.0</v>
      </c>
      <c r="D44" s="31">
        <f t="shared" si="11"/>
        <v>11.10198875</v>
      </c>
      <c r="E44" s="26">
        <v>55786.0</v>
      </c>
      <c r="F44" s="31">
        <f t="shared" si="12"/>
        <v>4.603116713</v>
      </c>
      <c r="G44" s="26">
        <v>30672.0</v>
      </c>
      <c r="H44" s="31">
        <f t="shared" si="13"/>
        <v>2.530864299</v>
      </c>
      <c r="I44" s="26">
        <v>21117.0</v>
      </c>
      <c r="J44" s="31">
        <f t="shared" si="14"/>
        <v>1.742444621</v>
      </c>
      <c r="K44" s="26">
        <v>309587.0</v>
      </c>
      <c r="L44" s="31">
        <f t="shared" si="15"/>
        <v>25.54521015</v>
      </c>
      <c r="M44" s="26">
        <v>550657.0</v>
      </c>
      <c r="N44" s="31">
        <f t="shared" si="16"/>
        <v>45.43681998</v>
      </c>
      <c r="O44" s="26">
        <v>526057.0</v>
      </c>
      <c r="P44" s="31">
        <f t="shared" si="17"/>
        <v>43.40697968</v>
      </c>
      <c r="Q44" s="26">
        <v>171555.0</v>
      </c>
      <c r="R44" s="31">
        <f t="shared" si="18"/>
        <v>14.1556607</v>
      </c>
      <c r="S44" s="26">
        <v>165805.0</v>
      </c>
      <c r="T44" s="31">
        <f t="shared" si="19"/>
        <v>13.68120615</v>
      </c>
      <c r="U44" s="26">
        <v>82216.0</v>
      </c>
      <c r="V44" s="31">
        <f t="shared" si="20"/>
        <v>6.78395733</v>
      </c>
      <c r="W44" s="26">
        <v>126598.0</v>
      </c>
      <c r="X44" s="31">
        <f t="shared" si="21"/>
        <v>10.44608629</v>
      </c>
      <c r="Y44" s="26">
        <v>361017.0</v>
      </c>
      <c r="Z44" s="31">
        <f t="shared" si="22"/>
        <v>29.78889661</v>
      </c>
      <c r="AA44" s="26">
        <v>616.0</v>
      </c>
      <c r="AB44" s="31">
        <f t="shared" si="23"/>
        <v>0.0508285214</v>
      </c>
    </row>
    <row r="45" ht="15.75" customHeight="1">
      <c r="A45" s="25" t="s">
        <v>54</v>
      </c>
      <c r="B45" s="26">
        <v>1209204.0</v>
      </c>
      <c r="C45" s="26">
        <v>57818.0</v>
      </c>
      <c r="D45" s="31">
        <f t="shared" si="11"/>
        <v>4.781492618</v>
      </c>
      <c r="E45" s="26">
        <v>11951.0</v>
      </c>
      <c r="F45" s="31">
        <f t="shared" si="12"/>
        <v>0.9883361286</v>
      </c>
      <c r="G45" s="26">
        <v>19068.0</v>
      </c>
      <c r="H45" s="31">
        <f t="shared" si="13"/>
        <v>1.576905138</v>
      </c>
      <c r="I45" s="26">
        <v>23431.0</v>
      </c>
      <c r="J45" s="31">
        <f t="shared" si="14"/>
        <v>1.937721013</v>
      </c>
      <c r="K45" s="26">
        <v>296922.0</v>
      </c>
      <c r="L45" s="31">
        <f t="shared" si="15"/>
        <v>24.55516191</v>
      </c>
      <c r="M45" s="26">
        <v>807977.0</v>
      </c>
      <c r="N45" s="31">
        <f t="shared" si="16"/>
        <v>66.81891558</v>
      </c>
      <c r="O45" s="26">
        <v>625980.0</v>
      </c>
      <c r="P45" s="31">
        <f t="shared" si="17"/>
        <v>51.7679399</v>
      </c>
      <c r="Q45" s="26">
        <v>103846.0</v>
      </c>
      <c r="R45" s="31">
        <f t="shared" si="18"/>
        <v>8.587963652</v>
      </c>
      <c r="S45" s="26">
        <v>165758.0</v>
      </c>
      <c r="T45" s="31">
        <f t="shared" si="19"/>
        <v>13.70802611</v>
      </c>
      <c r="U45" s="26">
        <v>78070.0</v>
      </c>
      <c r="V45" s="31">
        <f t="shared" si="20"/>
        <v>6.456313409</v>
      </c>
      <c r="W45" s="26">
        <v>101673.0</v>
      </c>
      <c r="X45" s="31">
        <f t="shared" si="21"/>
        <v>8.408258656</v>
      </c>
      <c r="Y45" s="26">
        <v>462836.0</v>
      </c>
      <c r="Z45" s="31">
        <f t="shared" si="22"/>
        <v>38.27608906</v>
      </c>
      <c r="AA45" s="26">
        <v>37546.0</v>
      </c>
      <c r="AB45" s="31">
        <f t="shared" si="23"/>
        <v>3.105017846</v>
      </c>
    </row>
    <row r="46" ht="15.75" customHeight="1">
      <c r="A46" s="25" t="s">
        <v>56</v>
      </c>
      <c r="B46" s="26">
        <v>790040.0</v>
      </c>
      <c r="C46" s="26">
        <v>70358.0</v>
      </c>
      <c r="D46" s="31">
        <f t="shared" si="11"/>
        <v>8.905625032</v>
      </c>
      <c r="E46" s="26">
        <v>29155.0</v>
      </c>
      <c r="F46" s="31">
        <f t="shared" si="12"/>
        <v>3.690319477</v>
      </c>
      <c r="G46" s="26">
        <v>29457.0</v>
      </c>
      <c r="H46" s="31">
        <f t="shared" si="13"/>
        <v>3.72854539</v>
      </c>
      <c r="I46" s="26">
        <v>27525.0</v>
      </c>
      <c r="J46" s="31">
        <f t="shared" si="14"/>
        <v>3.48400081</v>
      </c>
      <c r="K46" s="26">
        <v>242991.0</v>
      </c>
      <c r="L46" s="31">
        <f t="shared" si="15"/>
        <v>30.75679712</v>
      </c>
      <c r="M46" s="26">
        <v>420839.0</v>
      </c>
      <c r="N46" s="31">
        <f t="shared" si="16"/>
        <v>53.26806238</v>
      </c>
      <c r="O46" s="26">
        <v>399990.0</v>
      </c>
      <c r="P46" s="31">
        <f t="shared" si="17"/>
        <v>50.62908207</v>
      </c>
      <c r="Q46" s="26">
        <v>84565.0</v>
      </c>
      <c r="R46" s="31">
        <f t="shared" si="18"/>
        <v>10.70388841</v>
      </c>
      <c r="S46" s="26">
        <v>107745.0</v>
      </c>
      <c r="T46" s="31">
        <f t="shared" si="19"/>
        <v>13.63791707</v>
      </c>
      <c r="U46" s="26">
        <v>61624.0</v>
      </c>
      <c r="V46" s="31">
        <f t="shared" si="20"/>
        <v>7.800111387</v>
      </c>
      <c r="W46" s="26">
        <v>37907.0</v>
      </c>
      <c r="X46" s="31">
        <f t="shared" si="21"/>
        <v>4.798111488</v>
      </c>
      <c r="Y46" s="26">
        <v>149969.0</v>
      </c>
      <c r="Z46" s="31">
        <f t="shared" si="22"/>
        <v>18.98245658</v>
      </c>
      <c r="AA46" s="26">
        <v>38751.0</v>
      </c>
      <c r="AB46" s="31">
        <f t="shared" si="23"/>
        <v>4.904941522</v>
      </c>
    </row>
    <row r="47" ht="15.75" customHeight="1">
      <c r="A47" s="25" t="s">
        <v>57</v>
      </c>
      <c r="B47" s="26">
        <v>711852.0</v>
      </c>
      <c r="C47" s="26">
        <v>102135.0</v>
      </c>
      <c r="D47" s="31">
        <f t="shared" si="11"/>
        <v>14.34778578</v>
      </c>
      <c r="E47" s="26">
        <v>14535.0</v>
      </c>
      <c r="F47" s="31">
        <f t="shared" si="12"/>
        <v>2.041857015</v>
      </c>
      <c r="G47" s="26">
        <v>12957.0</v>
      </c>
      <c r="H47" s="31">
        <f t="shared" si="13"/>
        <v>1.820181723</v>
      </c>
      <c r="I47" s="26">
        <v>9766.0</v>
      </c>
      <c r="J47" s="31">
        <f t="shared" si="14"/>
        <v>1.371914387</v>
      </c>
      <c r="K47" s="26">
        <v>122102.0</v>
      </c>
      <c r="L47" s="31">
        <f t="shared" si="15"/>
        <v>17.15272276</v>
      </c>
      <c r="M47" s="26">
        <v>444702.0</v>
      </c>
      <c r="N47" s="31">
        <f t="shared" si="16"/>
        <v>62.47113164</v>
      </c>
      <c r="O47" s="26">
        <v>293765.0</v>
      </c>
      <c r="P47" s="31">
        <f t="shared" si="17"/>
        <v>41.26770733</v>
      </c>
      <c r="Q47" s="26">
        <v>107724.0</v>
      </c>
      <c r="R47" s="31">
        <f t="shared" si="18"/>
        <v>15.13292089</v>
      </c>
      <c r="S47" s="26">
        <v>86255.0</v>
      </c>
      <c r="T47" s="31">
        <f t="shared" si="19"/>
        <v>12.11698499</v>
      </c>
      <c r="U47" s="26">
        <v>49649.0</v>
      </c>
      <c r="V47" s="31">
        <f t="shared" si="20"/>
        <v>6.974623939</v>
      </c>
      <c r="W47" s="26">
        <v>72197.0</v>
      </c>
      <c r="X47" s="31">
        <f t="shared" si="21"/>
        <v>10.14213629</v>
      </c>
      <c r="Y47" s="26">
        <v>116507.0</v>
      </c>
      <c r="Z47" s="31">
        <f t="shared" si="22"/>
        <v>16.36674477</v>
      </c>
      <c r="AA47" s="26">
        <v>15132.0</v>
      </c>
      <c r="AB47" s="31">
        <f t="shared" si="23"/>
        <v>2.125722763</v>
      </c>
    </row>
    <row r="48" ht="15.75" customHeight="1">
      <c r="A48" s="25" t="s">
        <v>59</v>
      </c>
      <c r="B48" s="26">
        <v>563169.0</v>
      </c>
      <c r="C48" s="26">
        <v>40912.0</v>
      </c>
      <c r="D48" s="31">
        <f t="shared" si="11"/>
        <v>7.264604408</v>
      </c>
      <c r="E48" s="26">
        <v>6455.0</v>
      </c>
      <c r="F48" s="31">
        <f t="shared" si="12"/>
        <v>1.146192351</v>
      </c>
      <c r="G48" s="26">
        <v>6686.0</v>
      </c>
      <c r="H48" s="31">
        <f t="shared" si="13"/>
        <v>1.187210234</v>
      </c>
      <c r="I48" s="26">
        <v>8012.0</v>
      </c>
      <c r="J48" s="31">
        <f t="shared" si="14"/>
        <v>1.422663534</v>
      </c>
      <c r="K48" s="26">
        <v>85315.0</v>
      </c>
      <c r="L48" s="31">
        <f t="shared" si="15"/>
        <v>15.14909379</v>
      </c>
      <c r="M48" s="26">
        <v>350504.0</v>
      </c>
      <c r="N48" s="31">
        <f t="shared" si="16"/>
        <v>62.23780073</v>
      </c>
      <c r="O48" s="26">
        <v>261586.0</v>
      </c>
      <c r="P48" s="31">
        <f t="shared" si="17"/>
        <v>46.44893451</v>
      </c>
      <c r="Q48" s="26">
        <v>53468.0</v>
      </c>
      <c r="R48" s="31">
        <f t="shared" si="18"/>
        <v>9.494130536</v>
      </c>
      <c r="S48" s="26">
        <v>87564.0</v>
      </c>
      <c r="T48" s="31">
        <f t="shared" si="19"/>
        <v>15.54844105</v>
      </c>
      <c r="U48" s="26">
        <v>31707.0</v>
      </c>
      <c r="V48" s="31">
        <f t="shared" si="20"/>
        <v>5.63010393</v>
      </c>
      <c r="W48" s="26">
        <v>54114.0</v>
      </c>
      <c r="X48" s="31">
        <f t="shared" si="21"/>
        <v>9.608838555</v>
      </c>
      <c r="Y48" s="26">
        <v>103995.0</v>
      </c>
      <c r="Z48" s="31">
        <f t="shared" si="22"/>
        <v>18.46603773</v>
      </c>
      <c r="AA48" s="26">
        <v>32843.0</v>
      </c>
      <c r="AB48" s="31">
        <f t="shared" si="23"/>
        <v>5.831819578</v>
      </c>
    </row>
    <row r="49" ht="15.75" customHeight="1">
      <c r="A49" s="25" t="s">
        <v>60</v>
      </c>
      <c r="B49" s="26">
        <v>994530.0</v>
      </c>
      <c r="C49" s="26">
        <v>114355.0</v>
      </c>
      <c r="D49" s="31">
        <f t="shared" si="11"/>
        <v>11.49839623</v>
      </c>
      <c r="E49" s="26">
        <v>32062.0</v>
      </c>
      <c r="F49" s="31">
        <f t="shared" si="12"/>
        <v>3.223834374</v>
      </c>
      <c r="G49" s="26">
        <v>21651.0</v>
      </c>
      <c r="H49" s="31">
        <f t="shared" si="13"/>
        <v>2.177008235</v>
      </c>
      <c r="I49" s="26">
        <v>18414.0</v>
      </c>
      <c r="J49" s="31">
        <f t="shared" si="14"/>
        <v>1.851527857</v>
      </c>
      <c r="K49" s="26">
        <v>258858.0</v>
      </c>
      <c r="L49" s="31">
        <f t="shared" si="15"/>
        <v>26.02817411</v>
      </c>
      <c r="M49" s="26">
        <v>612826.0</v>
      </c>
      <c r="N49" s="31">
        <f t="shared" si="16"/>
        <v>61.61965954</v>
      </c>
      <c r="O49" s="26">
        <v>525375.0</v>
      </c>
      <c r="P49" s="31">
        <f t="shared" si="17"/>
        <v>52.82646074</v>
      </c>
      <c r="Q49" s="26">
        <v>146170.0</v>
      </c>
      <c r="R49" s="31">
        <f t="shared" si="18"/>
        <v>14.69739475</v>
      </c>
      <c r="S49" s="26">
        <v>127134.0</v>
      </c>
      <c r="T49" s="31">
        <f t="shared" si="19"/>
        <v>12.78332479</v>
      </c>
      <c r="U49" s="26">
        <v>54604.0</v>
      </c>
      <c r="V49" s="31">
        <f t="shared" si="20"/>
        <v>5.490432667</v>
      </c>
      <c r="W49" s="26">
        <v>72143.0</v>
      </c>
      <c r="X49" s="31">
        <f t="shared" si="21"/>
        <v>7.253979267</v>
      </c>
      <c r="Y49" s="26">
        <v>303600.0</v>
      </c>
      <c r="Z49" s="31">
        <f t="shared" si="22"/>
        <v>30.52698259</v>
      </c>
      <c r="AA49" s="26">
        <v>600.0</v>
      </c>
      <c r="AB49" s="31">
        <f t="shared" si="23"/>
        <v>0.06033000513</v>
      </c>
    </row>
    <row r="50" ht="15.75" customHeight="1">
      <c r="A50" s="25" t="s">
        <v>63</v>
      </c>
      <c r="B50" s="26">
        <v>671893.0</v>
      </c>
      <c r="C50" s="26">
        <v>127311.0</v>
      </c>
      <c r="D50" s="31">
        <f t="shared" si="11"/>
        <v>18.94810632</v>
      </c>
      <c r="E50" s="26">
        <v>23169.0</v>
      </c>
      <c r="F50" s="31">
        <f t="shared" si="12"/>
        <v>3.44831692</v>
      </c>
      <c r="G50" s="26">
        <v>9493.0</v>
      </c>
      <c r="H50" s="31">
        <f t="shared" si="13"/>
        <v>1.412873776</v>
      </c>
      <c r="I50" s="26">
        <v>7184.0</v>
      </c>
      <c r="J50" s="31">
        <f t="shared" si="14"/>
        <v>1.069217867</v>
      </c>
      <c r="K50" s="26">
        <v>153176.0</v>
      </c>
      <c r="L50" s="31">
        <f t="shared" si="15"/>
        <v>22.79767761</v>
      </c>
      <c r="M50" s="26">
        <v>343352.0</v>
      </c>
      <c r="N50" s="31">
        <f t="shared" si="16"/>
        <v>51.10218443</v>
      </c>
      <c r="O50" s="26">
        <v>215624.0</v>
      </c>
      <c r="P50" s="31">
        <f t="shared" si="17"/>
        <v>32.09201465</v>
      </c>
      <c r="Q50" s="26">
        <v>61389.0</v>
      </c>
      <c r="R50" s="31">
        <f t="shared" si="18"/>
        <v>9.136722663</v>
      </c>
      <c r="S50" s="26">
        <v>113447.0</v>
      </c>
      <c r="T50" s="31">
        <f t="shared" si="19"/>
        <v>16.88468253</v>
      </c>
      <c r="U50" s="26">
        <v>62921.0</v>
      </c>
      <c r="V50" s="31">
        <f t="shared" si="20"/>
        <v>9.364735159</v>
      </c>
      <c r="W50" s="26">
        <v>42345.0</v>
      </c>
      <c r="X50" s="31">
        <f t="shared" si="21"/>
        <v>6.302342784</v>
      </c>
      <c r="Y50" s="26">
        <v>163723.0</v>
      </c>
      <c r="Z50" s="31">
        <f t="shared" si="22"/>
        <v>24.3674216</v>
      </c>
      <c r="AA50" s="26">
        <v>19654.0</v>
      </c>
      <c r="AB50" s="31">
        <f t="shared" si="23"/>
        <v>2.925168144</v>
      </c>
    </row>
    <row r="51" ht="15.75" customHeight="1">
      <c r="A51" s="25" t="s">
        <v>64</v>
      </c>
      <c r="B51" s="26">
        <v>481658.0</v>
      </c>
      <c r="C51" s="26">
        <v>52022.0</v>
      </c>
      <c r="D51" s="31">
        <f t="shared" si="11"/>
        <v>10.80060956</v>
      </c>
      <c r="E51" s="26">
        <v>3706.0</v>
      </c>
      <c r="F51" s="31">
        <f t="shared" si="12"/>
        <v>0.769425609</v>
      </c>
      <c r="G51" s="26">
        <v>4727.0</v>
      </c>
      <c r="H51" s="31">
        <f t="shared" si="13"/>
        <v>0.9814017415</v>
      </c>
      <c r="I51" s="26">
        <v>14327.0</v>
      </c>
      <c r="J51" s="31">
        <f t="shared" si="14"/>
        <v>2.974517189</v>
      </c>
      <c r="K51" s="26">
        <v>147120.0</v>
      </c>
      <c r="L51" s="31">
        <f t="shared" si="15"/>
        <v>30.54449423</v>
      </c>
      <c r="M51" s="26">
        <v>325249.0</v>
      </c>
      <c r="N51" s="31">
        <f t="shared" si="16"/>
        <v>67.52695896</v>
      </c>
      <c r="O51" s="26">
        <v>235938.0</v>
      </c>
      <c r="P51" s="31">
        <f t="shared" si="17"/>
        <v>48.9845492</v>
      </c>
      <c r="Q51" s="26">
        <v>65532.0</v>
      </c>
      <c r="R51" s="31">
        <f t="shared" si="18"/>
        <v>13.60550432</v>
      </c>
      <c r="S51" s="26">
        <v>61312.0</v>
      </c>
      <c r="T51" s="31">
        <f t="shared" si="19"/>
        <v>12.72936399</v>
      </c>
      <c r="U51" s="26">
        <v>24563.0</v>
      </c>
      <c r="V51" s="31">
        <f t="shared" si="20"/>
        <v>5.099676534</v>
      </c>
      <c r="W51" s="26">
        <v>24153.0</v>
      </c>
      <c r="X51" s="31">
        <f t="shared" si="21"/>
        <v>5.014553895</v>
      </c>
      <c r="Y51" s="26">
        <v>74150.0</v>
      </c>
      <c r="Z51" s="31">
        <f t="shared" si="22"/>
        <v>15.39474067</v>
      </c>
      <c r="AA51" s="26">
        <v>2058.0</v>
      </c>
      <c r="AB51" s="31">
        <f t="shared" si="23"/>
        <v>0.427274124</v>
      </c>
    </row>
    <row r="52" ht="15.75" customHeight="1">
      <c r="A52" s="25" t="s">
        <v>65</v>
      </c>
      <c r="B52" s="26">
        <v>611371.0</v>
      </c>
      <c r="C52" s="26">
        <v>172662.0</v>
      </c>
      <c r="D52" s="31">
        <f t="shared" si="11"/>
        <v>28.24177136</v>
      </c>
      <c r="E52" s="26">
        <v>43539.0</v>
      </c>
      <c r="F52" s="31">
        <f t="shared" si="12"/>
        <v>7.121535042</v>
      </c>
      <c r="G52" s="26">
        <v>38736.0</v>
      </c>
      <c r="H52" s="31">
        <f t="shared" si="13"/>
        <v>6.335923686</v>
      </c>
      <c r="I52" s="26">
        <v>23094.0</v>
      </c>
      <c r="J52" s="31">
        <f t="shared" si="14"/>
        <v>3.777411752</v>
      </c>
      <c r="K52" s="26">
        <v>129275.0</v>
      </c>
      <c r="L52" s="31">
        <f t="shared" si="15"/>
        <v>21.14509848</v>
      </c>
      <c r="M52" s="26">
        <v>234296.0</v>
      </c>
      <c r="N52" s="31">
        <f t="shared" si="16"/>
        <v>38.32304771</v>
      </c>
      <c r="O52" s="26">
        <v>228055.0</v>
      </c>
      <c r="P52" s="31">
        <f t="shared" si="17"/>
        <v>37.30222729</v>
      </c>
      <c r="Q52" s="26">
        <v>136496.0</v>
      </c>
      <c r="R52" s="31">
        <f t="shared" si="18"/>
        <v>22.32621436</v>
      </c>
      <c r="S52" s="26">
        <v>61850.0</v>
      </c>
      <c r="T52" s="31">
        <f t="shared" si="19"/>
        <v>10.11660677</v>
      </c>
      <c r="U52" s="26">
        <v>31038.0</v>
      </c>
      <c r="V52" s="31">
        <f t="shared" si="20"/>
        <v>5.076786436</v>
      </c>
      <c r="W52" s="26">
        <v>50069.0</v>
      </c>
      <c r="X52" s="31">
        <f t="shared" si="21"/>
        <v>8.189626266</v>
      </c>
      <c r="Y52" s="26">
        <v>88848.0</v>
      </c>
      <c r="Z52" s="31">
        <f t="shared" si="22"/>
        <v>14.53258333</v>
      </c>
      <c r="AA52" s="26">
        <v>22961.0</v>
      </c>
      <c r="AB52" s="31">
        <f t="shared" si="23"/>
        <v>3.755657367</v>
      </c>
    </row>
    <row r="53" ht="15.75" customHeight="1">
      <c r="A53" s="28"/>
      <c r="B53" s="28"/>
      <c r="C53" s="28"/>
      <c r="D53" s="28"/>
      <c r="E53" s="28"/>
      <c r="F53" s="28"/>
      <c r="G53" s="28"/>
      <c r="H53" s="28"/>
      <c r="I53" s="28"/>
      <c r="J53" s="28"/>
      <c r="K53" s="28"/>
      <c r="L53" s="28"/>
      <c r="M53" s="28"/>
      <c r="N53" s="28"/>
      <c r="O53" s="28"/>
      <c r="P53" s="28"/>
      <c r="Q53" s="28"/>
      <c r="R53" s="28"/>
      <c r="S53" s="28"/>
      <c r="T53" s="28"/>
      <c r="U53" s="28"/>
      <c r="V53" s="28"/>
      <c r="W53" s="28"/>
      <c r="X53" s="28"/>
      <c r="Y53" s="28"/>
      <c r="Z53" s="28"/>
      <c r="AA53" s="28"/>
      <c r="AB53" s="28"/>
    </row>
    <row r="54" ht="15.75" customHeight="1">
      <c r="A54" s="9"/>
      <c r="B54" s="9"/>
      <c r="C54" s="9"/>
      <c r="D54" s="9"/>
    </row>
    <row r="55" ht="15.75" customHeight="1">
      <c r="A55" s="29" t="s">
        <v>69</v>
      </c>
      <c r="B55" s="29"/>
      <c r="C55" s="29"/>
      <c r="D55" s="29"/>
      <c r="E55" s="29"/>
      <c r="F55" s="29"/>
      <c r="G55" s="30"/>
      <c r="H55" s="30"/>
      <c r="I55" s="30"/>
      <c r="J55" s="30"/>
      <c r="K55" s="30"/>
      <c r="L55" s="30"/>
      <c r="M55" s="30"/>
    </row>
    <row r="56" ht="15.75" customHeight="1">
      <c r="A56" s="29" t="s">
        <v>72</v>
      </c>
      <c r="B56" s="29"/>
      <c r="C56" s="29"/>
      <c r="D56" s="29"/>
      <c r="E56" s="29"/>
      <c r="F56" s="29"/>
      <c r="G56" s="30"/>
      <c r="H56" s="30"/>
      <c r="I56" s="30"/>
      <c r="J56" s="30"/>
      <c r="K56" s="30"/>
      <c r="L56" s="30"/>
      <c r="M56" s="30"/>
    </row>
    <row r="57" ht="15.75" customHeight="1">
      <c r="A57" s="29" t="s">
        <v>334</v>
      </c>
      <c r="B57" s="29"/>
      <c r="C57" s="29"/>
      <c r="D57" s="29"/>
      <c r="E57" s="29"/>
      <c r="F57" s="29"/>
      <c r="G57" s="30"/>
      <c r="H57" s="30"/>
      <c r="I57" s="30"/>
      <c r="J57" s="30"/>
      <c r="K57" s="30"/>
      <c r="L57" s="30"/>
      <c r="M57" s="30"/>
    </row>
    <row r="58" ht="15.75" customHeight="1">
      <c r="A58" s="29" t="s">
        <v>335</v>
      </c>
      <c r="B58" s="29"/>
      <c r="C58" s="29"/>
      <c r="D58" s="29"/>
      <c r="E58" s="29"/>
      <c r="F58" s="29"/>
      <c r="G58" s="30"/>
      <c r="H58" s="30"/>
      <c r="I58" s="30"/>
      <c r="J58" s="30"/>
      <c r="K58" s="30"/>
      <c r="L58" s="30"/>
      <c r="M58" s="30"/>
    </row>
    <row r="59" ht="15.75" customHeight="1">
      <c r="A59" s="32" t="s">
        <v>76</v>
      </c>
    </row>
    <row r="60" ht="15.75" customHeight="1">
      <c r="A60" s="32"/>
    </row>
    <row r="61" ht="15.75" customHeight="1">
      <c r="D61" s="41"/>
      <c r="F61" s="41"/>
    </row>
    <row r="62" ht="15.75" customHeight="1">
      <c r="D62" s="41"/>
      <c r="F62" s="41"/>
    </row>
    <row r="63" ht="15.75" customHeight="1">
      <c r="D63" s="41"/>
      <c r="F63" s="41"/>
    </row>
    <row r="64" ht="15.75" customHeight="1">
      <c r="D64" s="41"/>
      <c r="F64" s="41"/>
    </row>
    <row r="65" ht="15.75" customHeight="1">
      <c r="D65" s="41"/>
      <c r="F65" s="41"/>
    </row>
    <row r="66" ht="15.75" customHeight="1">
      <c r="D66" s="41"/>
      <c r="F66" s="41"/>
    </row>
    <row r="67" ht="15.75" customHeight="1">
      <c r="D67" s="41"/>
      <c r="F67" s="41"/>
    </row>
    <row r="68" ht="15.75" customHeight="1">
      <c r="D68" s="41"/>
      <c r="F68" s="41"/>
    </row>
    <row r="69" ht="15.75" customHeight="1">
      <c r="D69" s="41"/>
      <c r="F69" s="41"/>
    </row>
    <row r="70" ht="15.75" customHeight="1">
      <c r="D70" s="41"/>
      <c r="F70" s="41"/>
    </row>
    <row r="71" ht="15.75" customHeight="1">
      <c r="D71" s="41"/>
      <c r="F71" s="41"/>
    </row>
    <row r="72" ht="15.75" customHeight="1">
      <c r="D72" s="41"/>
      <c r="F72" s="41"/>
    </row>
    <row r="73" ht="15.75" customHeight="1">
      <c r="D73" s="41"/>
      <c r="F73" s="41"/>
    </row>
    <row r="74" ht="15.75" customHeight="1">
      <c r="D74" s="41"/>
      <c r="F74" s="41"/>
    </row>
    <row r="75" ht="15.75" customHeight="1">
      <c r="D75" s="41"/>
      <c r="F75" s="41"/>
    </row>
    <row r="76" ht="15.75" customHeight="1">
      <c r="D76" s="41"/>
      <c r="F76" s="41"/>
    </row>
    <row r="77" ht="15.75" customHeight="1">
      <c r="D77" s="41"/>
      <c r="F77" s="41"/>
    </row>
    <row r="78" ht="15.75" customHeight="1">
      <c r="D78" s="41"/>
      <c r="F78" s="41"/>
    </row>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3">
    <mergeCell ref="A4:A7"/>
    <mergeCell ref="B4:V4"/>
    <mergeCell ref="B5:B7"/>
    <mergeCell ref="C5:V5"/>
    <mergeCell ref="C6:D6"/>
    <mergeCell ref="E6:F6"/>
    <mergeCell ref="G6:H6"/>
    <mergeCell ref="U6:V6"/>
    <mergeCell ref="Y32:Z32"/>
    <mergeCell ref="AA32:AB32"/>
    <mergeCell ref="A59:M59"/>
    <mergeCell ref="A60:M60"/>
    <mergeCell ref="I6:J6"/>
    <mergeCell ref="K6:L6"/>
    <mergeCell ref="A30:A33"/>
    <mergeCell ref="B30:AB30"/>
    <mergeCell ref="B31:B33"/>
    <mergeCell ref="C31:AB31"/>
    <mergeCell ref="C32:D32"/>
    <mergeCell ref="M6:N6"/>
    <mergeCell ref="O6:P6"/>
    <mergeCell ref="Q6:R6"/>
    <mergeCell ref="S6:T6"/>
    <mergeCell ref="E32:F32"/>
    <mergeCell ref="G32:H32"/>
    <mergeCell ref="I32:J32"/>
    <mergeCell ref="K32:L32"/>
    <mergeCell ref="M32:N32"/>
    <mergeCell ref="O32:P32"/>
    <mergeCell ref="Q32:R32"/>
    <mergeCell ref="S32:T32"/>
    <mergeCell ref="U32:V32"/>
    <mergeCell ref="W32:X32"/>
  </mergeCells>
  <hyperlinks>
    <hyperlink display="BACK TO LIST" location="LIST!A1" ref="A1"/>
  </hyperlinks>
  <printOptions/>
  <pageMargins bottom="0.75" footer="0.0" header="0.0" left="0.7" right="0.7" top="0.75"/>
  <pageSetup paperSize="9" orientation="portrait"/>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9"/>
    <pageSetUpPr/>
  </sheetPr>
  <sheetViews>
    <sheetView workbookViewId="0"/>
  </sheetViews>
  <sheetFormatPr customHeight="1" defaultColWidth="12.63" defaultRowHeight="15.0"/>
  <cols>
    <col customWidth="1" min="1" max="1" width="39.0"/>
    <col customWidth="1" min="2" max="2" width="14.75"/>
    <col customWidth="1" min="3" max="24" width="14.0"/>
    <col customWidth="1" min="25" max="26" width="8.63"/>
  </cols>
  <sheetData>
    <row r="1">
      <c r="A1" s="5" t="s">
        <v>1</v>
      </c>
    </row>
    <row r="2" ht="15.0" customHeight="1">
      <c r="A2" s="6" t="s">
        <v>319</v>
      </c>
      <c r="B2" s="6"/>
      <c r="C2" s="6"/>
      <c r="D2" s="6"/>
      <c r="E2" s="53"/>
      <c r="F2" s="53"/>
      <c r="G2" s="53"/>
      <c r="H2" s="53"/>
      <c r="K2" s="53"/>
      <c r="L2" s="53"/>
      <c r="M2" s="53"/>
      <c r="N2" s="53"/>
      <c r="Q2" s="53"/>
      <c r="R2" s="53"/>
      <c r="S2" s="53"/>
      <c r="T2" s="53"/>
      <c r="U2" s="53"/>
      <c r="V2" s="53"/>
      <c r="W2" s="53"/>
      <c r="X2" s="53"/>
    </row>
    <row r="3">
      <c r="A3" s="8"/>
      <c r="B3" s="9"/>
      <c r="C3" s="9"/>
      <c r="D3" s="9"/>
      <c r="E3" s="9"/>
      <c r="F3" s="9"/>
      <c r="G3" s="9"/>
      <c r="H3" s="9"/>
      <c r="I3" s="9"/>
      <c r="J3" s="9"/>
      <c r="K3" s="9"/>
      <c r="L3" s="9"/>
      <c r="M3" s="9"/>
      <c r="N3" s="9"/>
      <c r="O3" s="9"/>
      <c r="P3" s="9"/>
      <c r="Q3" s="9"/>
      <c r="R3" s="9"/>
      <c r="S3" s="9"/>
      <c r="T3" s="9"/>
      <c r="U3" s="9"/>
      <c r="V3" s="9"/>
      <c r="W3" s="9"/>
      <c r="X3" s="9"/>
    </row>
    <row r="4">
      <c r="A4" s="10" t="s">
        <v>13</v>
      </c>
      <c r="B4" s="12">
        <v>2019.0</v>
      </c>
      <c r="C4" s="14"/>
      <c r="D4" s="14"/>
      <c r="E4" s="14"/>
      <c r="F4" s="14"/>
      <c r="G4" s="14"/>
      <c r="H4" s="14"/>
      <c r="I4" s="14"/>
      <c r="J4" s="14"/>
      <c r="K4" s="14"/>
      <c r="L4" s="14"/>
      <c r="M4" s="14"/>
      <c r="N4" s="14"/>
      <c r="O4" s="14"/>
      <c r="P4" s="14"/>
      <c r="Q4" s="14"/>
      <c r="R4" s="14"/>
      <c r="S4" s="14"/>
      <c r="T4" s="14"/>
      <c r="U4" s="14"/>
      <c r="V4" s="14"/>
      <c r="W4" s="14"/>
      <c r="X4" s="15"/>
    </row>
    <row r="5">
      <c r="A5" s="17"/>
      <c r="B5" s="21" t="s">
        <v>320</v>
      </c>
      <c r="C5" s="42" t="s">
        <v>321</v>
      </c>
      <c r="D5" s="14"/>
      <c r="E5" s="14"/>
      <c r="F5" s="14"/>
      <c r="G5" s="14"/>
      <c r="H5" s="14"/>
      <c r="I5" s="14"/>
      <c r="J5" s="14"/>
      <c r="K5" s="14"/>
      <c r="L5" s="14"/>
      <c r="M5" s="14"/>
      <c r="N5" s="14"/>
      <c r="O5" s="14"/>
      <c r="P5" s="14"/>
      <c r="Q5" s="14"/>
      <c r="R5" s="14"/>
      <c r="S5" s="14"/>
      <c r="T5" s="14"/>
      <c r="U5" s="14"/>
      <c r="V5" s="14"/>
      <c r="W5" s="14"/>
      <c r="X5" s="15"/>
    </row>
    <row r="6" ht="30.0" customHeight="1">
      <c r="A6" s="17"/>
      <c r="B6" s="17"/>
      <c r="C6" s="13" t="s">
        <v>322</v>
      </c>
      <c r="D6" s="15"/>
      <c r="E6" s="13" t="s">
        <v>323</v>
      </c>
      <c r="F6" s="15"/>
      <c r="G6" s="13" t="s">
        <v>312</v>
      </c>
      <c r="H6" s="15"/>
      <c r="I6" s="13" t="s">
        <v>313</v>
      </c>
      <c r="J6" s="15"/>
      <c r="K6" s="13" t="s">
        <v>324</v>
      </c>
      <c r="L6" s="15"/>
      <c r="M6" s="13" t="s">
        <v>316</v>
      </c>
      <c r="N6" s="15"/>
      <c r="O6" s="13" t="s">
        <v>325</v>
      </c>
      <c r="P6" s="15"/>
      <c r="Q6" s="13" t="s">
        <v>326</v>
      </c>
      <c r="R6" s="15"/>
      <c r="S6" s="13" t="s">
        <v>327</v>
      </c>
      <c r="T6" s="15"/>
      <c r="U6" s="13" t="s">
        <v>328</v>
      </c>
      <c r="V6" s="15"/>
      <c r="W6" s="13" t="s">
        <v>170</v>
      </c>
      <c r="X6" s="15"/>
    </row>
    <row r="7">
      <c r="A7" s="18"/>
      <c r="B7" s="18"/>
      <c r="C7" s="24" t="s">
        <v>37</v>
      </c>
      <c r="D7" s="24" t="s">
        <v>39</v>
      </c>
      <c r="E7" s="24" t="s">
        <v>37</v>
      </c>
      <c r="F7" s="24" t="s">
        <v>39</v>
      </c>
      <c r="G7" s="24" t="s">
        <v>37</v>
      </c>
      <c r="H7" s="24" t="s">
        <v>39</v>
      </c>
      <c r="I7" s="24" t="s">
        <v>37</v>
      </c>
      <c r="J7" s="24" t="s">
        <v>39</v>
      </c>
      <c r="K7" s="24" t="s">
        <v>37</v>
      </c>
      <c r="L7" s="24" t="s">
        <v>39</v>
      </c>
      <c r="M7" s="24" t="s">
        <v>37</v>
      </c>
      <c r="N7" s="24" t="s">
        <v>39</v>
      </c>
      <c r="O7" s="24" t="s">
        <v>37</v>
      </c>
      <c r="P7" s="24" t="s">
        <v>39</v>
      </c>
      <c r="Q7" s="24" t="s">
        <v>37</v>
      </c>
      <c r="R7" s="24" t="s">
        <v>39</v>
      </c>
      <c r="S7" s="24" t="s">
        <v>37</v>
      </c>
      <c r="T7" s="24" t="s">
        <v>39</v>
      </c>
      <c r="U7" s="24" t="s">
        <v>37</v>
      </c>
      <c r="V7" s="24" t="s">
        <v>39</v>
      </c>
      <c r="W7" s="24" t="s">
        <v>37</v>
      </c>
      <c r="X7" s="24" t="s">
        <v>39</v>
      </c>
    </row>
    <row r="8">
      <c r="A8" s="16"/>
      <c r="B8" s="20"/>
      <c r="C8" s="20"/>
      <c r="D8" s="20"/>
      <c r="E8" s="20"/>
      <c r="F8" s="20"/>
      <c r="G8" s="20"/>
      <c r="H8" s="20"/>
      <c r="I8" s="20"/>
      <c r="J8" s="20"/>
      <c r="K8" s="20"/>
      <c r="L8" s="20"/>
      <c r="M8" s="20"/>
      <c r="N8" s="20"/>
      <c r="O8" s="20"/>
      <c r="P8" s="20"/>
      <c r="Q8" s="20"/>
      <c r="R8" s="20"/>
      <c r="S8" s="20"/>
      <c r="T8" s="20"/>
      <c r="U8" s="20"/>
      <c r="V8" s="20"/>
      <c r="W8" s="20"/>
      <c r="X8" s="20"/>
    </row>
    <row r="9">
      <c r="A9" s="22" t="s">
        <v>33</v>
      </c>
      <c r="B9" s="23">
        <v>2.3929404E7</v>
      </c>
      <c r="C9" s="23">
        <v>5462074.869303001</v>
      </c>
      <c r="D9" s="27">
        <f t="shared" ref="D9:D26" si="1">(C9/$B9)*100</f>
        <v>22.82578734</v>
      </c>
      <c r="E9" s="23">
        <v>1061636.947366</v>
      </c>
      <c r="F9" s="27">
        <f t="shared" ref="F9:F26" si="2">(E9/$B9)*100</f>
        <v>4.436537355</v>
      </c>
      <c r="G9" s="23">
        <v>168167.40867299997</v>
      </c>
      <c r="H9" s="27">
        <f t="shared" ref="H9:H26" si="3">(G9/$B9)*100</f>
        <v>0.7027647186</v>
      </c>
      <c r="I9" s="23">
        <v>623151.001329</v>
      </c>
      <c r="J9" s="27">
        <f t="shared" ref="J9:J26" si="4">(I9/$B9)*100</f>
        <v>2.604122532</v>
      </c>
      <c r="K9" s="23">
        <v>6937271.8372129975</v>
      </c>
      <c r="L9" s="27">
        <f t="shared" ref="L9:L26" si="5">(K9/$B9)*100</f>
        <v>28.9905751</v>
      </c>
      <c r="M9" s="23">
        <v>5348057.668829997</v>
      </c>
      <c r="N9" s="27">
        <f t="shared" ref="N9:N26" si="6">(M9/$B9)*100</f>
        <v>22.34931413</v>
      </c>
      <c r="O9" s="23">
        <v>1880380.4343670004</v>
      </c>
      <c r="P9" s="27">
        <f t="shared" ref="P9:P26" si="7">(O9/$B9)*100</f>
        <v>7.85803288</v>
      </c>
      <c r="Q9" s="23">
        <v>9373010.103095997</v>
      </c>
      <c r="R9" s="27">
        <f t="shared" ref="R9:R26" si="8">(Q9/$B9)*100</f>
        <v>39.16942563</v>
      </c>
      <c r="S9" s="23">
        <v>2865350.075402</v>
      </c>
      <c r="T9" s="27">
        <f t="shared" ref="T9:T26" si="9">(S9/$B9)*100</f>
        <v>11.9741807</v>
      </c>
      <c r="U9" s="23">
        <v>3131132.4334570006</v>
      </c>
      <c r="V9" s="27">
        <f t="shared" ref="V9:V26" si="10">(U9/$B9)*100</f>
        <v>13.0848743</v>
      </c>
      <c r="W9" s="23">
        <v>630499.0821629999</v>
      </c>
      <c r="X9" s="27">
        <f t="shared" ref="X9:X26" si="11">(W9/$B9)*100</f>
        <v>2.634829861</v>
      </c>
    </row>
    <row r="10">
      <c r="A10" s="25" t="s">
        <v>38</v>
      </c>
      <c r="B10" s="26">
        <v>2255650.0</v>
      </c>
      <c r="C10" s="26">
        <v>257314.25168999992</v>
      </c>
      <c r="D10" s="31">
        <f t="shared" si="1"/>
        <v>11.40754336</v>
      </c>
      <c r="E10" s="26">
        <v>287209.43744999997</v>
      </c>
      <c r="F10" s="31">
        <f t="shared" si="2"/>
        <v>12.73289018</v>
      </c>
      <c r="G10" s="26">
        <v>50416.859800000006</v>
      </c>
      <c r="H10" s="31">
        <f t="shared" si="3"/>
        <v>2.235136648</v>
      </c>
      <c r="I10" s="26">
        <v>84667.47949</v>
      </c>
      <c r="J10" s="31">
        <f t="shared" si="4"/>
        <v>3.753573448</v>
      </c>
      <c r="K10" s="26">
        <v>573102.6829099999</v>
      </c>
      <c r="L10" s="31">
        <f t="shared" si="5"/>
        <v>25.40742947</v>
      </c>
      <c r="M10" s="26">
        <v>308135.2191900001</v>
      </c>
      <c r="N10" s="31">
        <f t="shared" si="6"/>
        <v>13.66059536</v>
      </c>
      <c r="O10" s="26">
        <v>48992.8563</v>
      </c>
      <c r="P10" s="31">
        <f t="shared" si="7"/>
        <v>2.172006131</v>
      </c>
      <c r="Q10" s="26">
        <v>728491.4586449999</v>
      </c>
      <c r="R10" s="31">
        <f t="shared" si="8"/>
        <v>32.29629857</v>
      </c>
      <c r="S10" s="26">
        <v>207791.17071000003</v>
      </c>
      <c r="T10" s="31">
        <f t="shared" si="9"/>
        <v>9.21203071</v>
      </c>
      <c r="U10" s="26">
        <v>532896.8443199999</v>
      </c>
      <c r="V10" s="31">
        <f t="shared" si="10"/>
        <v>23.62497924</v>
      </c>
      <c r="W10" s="26">
        <v>46083.75691</v>
      </c>
      <c r="X10" s="31">
        <f t="shared" si="11"/>
        <v>2.043036682</v>
      </c>
    </row>
    <row r="11">
      <c r="A11" s="25" t="s">
        <v>41</v>
      </c>
      <c r="B11" s="26">
        <v>317640.0</v>
      </c>
      <c r="C11" s="26">
        <v>86439.13840699998</v>
      </c>
      <c r="D11" s="31">
        <f t="shared" si="1"/>
        <v>27.21292608</v>
      </c>
      <c r="E11" s="26">
        <v>787.22339</v>
      </c>
      <c r="F11" s="31">
        <f t="shared" si="2"/>
        <v>0.2478350932</v>
      </c>
      <c r="G11" s="26">
        <v>917.21726</v>
      </c>
      <c r="H11" s="31">
        <f t="shared" si="3"/>
        <v>0.2887599987</v>
      </c>
      <c r="I11" s="26">
        <v>678.37274</v>
      </c>
      <c r="J11" s="31">
        <f t="shared" si="4"/>
        <v>0.2135665344</v>
      </c>
      <c r="K11" s="26">
        <v>48923.644203</v>
      </c>
      <c r="L11" s="31">
        <f t="shared" si="5"/>
        <v>15.40223026</v>
      </c>
      <c r="M11" s="26">
        <v>33557.56603499999</v>
      </c>
      <c r="N11" s="31">
        <f t="shared" si="6"/>
        <v>10.56465371</v>
      </c>
      <c r="O11" s="26">
        <v>59966.078830999984</v>
      </c>
      <c r="P11" s="31">
        <f t="shared" si="7"/>
        <v>18.87862953</v>
      </c>
      <c r="Q11" s="26">
        <v>128755.22100599999</v>
      </c>
      <c r="R11" s="31">
        <f t="shared" si="8"/>
        <v>40.53495183</v>
      </c>
      <c r="S11" s="26">
        <v>16683.405637</v>
      </c>
      <c r="T11" s="31">
        <f t="shared" si="9"/>
        <v>5.252299974</v>
      </c>
      <c r="U11" s="26">
        <v>43741.95639299999</v>
      </c>
      <c r="V11" s="31">
        <f t="shared" si="10"/>
        <v>13.77092192</v>
      </c>
      <c r="W11" s="26">
        <v>6234.228160000001</v>
      </c>
      <c r="X11" s="31">
        <f t="shared" si="11"/>
        <v>1.962670999</v>
      </c>
    </row>
    <row r="12">
      <c r="A12" s="25" t="s">
        <v>43</v>
      </c>
      <c r="B12" s="26">
        <v>1239098.0</v>
      </c>
      <c r="C12" s="26">
        <v>201372.48834</v>
      </c>
      <c r="D12" s="31">
        <f t="shared" si="1"/>
        <v>16.25153849</v>
      </c>
      <c r="E12" s="26">
        <v>25609.05932</v>
      </c>
      <c r="F12" s="31">
        <f t="shared" si="2"/>
        <v>2.066750113</v>
      </c>
      <c r="G12" s="26">
        <v>1979.9587</v>
      </c>
      <c r="H12" s="31">
        <f t="shared" si="3"/>
        <v>0.1597903233</v>
      </c>
      <c r="I12" s="26">
        <v>40857.104699999996</v>
      </c>
      <c r="J12" s="31">
        <f t="shared" si="4"/>
        <v>3.297326337</v>
      </c>
      <c r="K12" s="26">
        <v>572477.61254</v>
      </c>
      <c r="L12" s="31">
        <f t="shared" si="5"/>
        <v>46.20115701</v>
      </c>
      <c r="M12" s="26">
        <v>248486.59436000002</v>
      </c>
      <c r="N12" s="31">
        <f t="shared" si="6"/>
        <v>20.05382902</v>
      </c>
      <c r="O12" s="26">
        <v>106675.71959999998</v>
      </c>
      <c r="P12" s="31">
        <f t="shared" si="7"/>
        <v>8.60914307</v>
      </c>
      <c r="Q12" s="26">
        <v>511156.40289000043</v>
      </c>
      <c r="R12" s="31">
        <f t="shared" si="8"/>
        <v>41.25229828</v>
      </c>
      <c r="S12" s="26">
        <v>116120.38979999999</v>
      </c>
      <c r="T12" s="31">
        <f t="shared" si="9"/>
        <v>9.371364476</v>
      </c>
      <c r="U12" s="26">
        <v>134469.38054</v>
      </c>
      <c r="V12" s="31">
        <f t="shared" si="10"/>
        <v>10.85219898</v>
      </c>
      <c r="W12" s="26">
        <v>92806.62022</v>
      </c>
      <c r="X12" s="31">
        <f t="shared" si="11"/>
        <v>7.489853121</v>
      </c>
    </row>
    <row r="13">
      <c r="A13" s="25" t="s">
        <v>44</v>
      </c>
      <c r="B13" s="26">
        <v>1110591.0</v>
      </c>
      <c r="C13" s="26">
        <v>243158.08903800006</v>
      </c>
      <c r="D13" s="31">
        <f t="shared" si="1"/>
        <v>21.89447682</v>
      </c>
      <c r="E13" s="26">
        <v>18342.6076</v>
      </c>
      <c r="F13" s="31">
        <f t="shared" si="2"/>
        <v>1.651607802</v>
      </c>
      <c r="G13" s="26">
        <v>3878.980435</v>
      </c>
      <c r="H13" s="31">
        <f t="shared" si="3"/>
        <v>0.3492717332</v>
      </c>
      <c r="I13" s="26">
        <v>19571.514643</v>
      </c>
      <c r="J13" s="31">
        <f t="shared" si="4"/>
        <v>1.762261232</v>
      </c>
      <c r="K13" s="26">
        <v>234458.43554699994</v>
      </c>
      <c r="L13" s="31">
        <f t="shared" si="5"/>
        <v>21.11114132</v>
      </c>
      <c r="M13" s="26">
        <v>331811.11085500015</v>
      </c>
      <c r="N13" s="31">
        <f t="shared" si="6"/>
        <v>29.87698539</v>
      </c>
      <c r="O13" s="26">
        <v>157595.57509900004</v>
      </c>
      <c r="P13" s="31">
        <f t="shared" si="7"/>
        <v>14.19024421</v>
      </c>
      <c r="Q13" s="26">
        <v>466514.16600600025</v>
      </c>
      <c r="R13" s="31">
        <f t="shared" si="8"/>
        <v>42.00593792</v>
      </c>
      <c r="S13" s="26">
        <v>180920.770982</v>
      </c>
      <c r="T13" s="31">
        <f t="shared" si="9"/>
        <v>16.29049497</v>
      </c>
      <c r="U13" s="26">
        <v>15450.894081</v>
      </c>
      <c r="V13" s="31">
        <f t="shared" si="10"/>
        <v>1.391231703</v>
      </c>
      <c r="W13" s="26">
        <v>20980.732210000002</v>
      </c>
      <c r="X13" s="31">
        <f t="shared" si="11"/>
        <v>1.88915021</v>
      </c>
    </row>
    <row r="14">
      <c r="A14" s="25" t="s">
        <v>46</v>
      </c>
      <c r="B14" s="26">
        <v>2721073.0</v>
      </c>
      <c r="C14" s="26">
        <v>401062.0678000001</v>
      </c>
      <c r="D14" s="31">
        <f t="shared" si="1"/>
        <v>14.7391146</v>
      </c>
      <c r="E14" s="26">
        <v>11259.496439999999</v>
      </c>
      <c r="F14" s="31">
        <f t="shared" si="2"/>
        <v>0.4137888414</v>
      </c>
      <c r="G14" s="26">
        <v>3764.6848600000003</v>
      </c>
      <c r="H14" s="31">
        <f t="shared" si="3"/>
        <v>0.1383529534</v>
      </c>
      <c r="I14" s="26">
        <v>91273.25622000001</v>
      </c>
      <c r="J14" s="31">
        <f t="shared" si="4"/>
        <v>3.354311193</v>
      </c>
      <c r="K14" s="26">
        <v>1348866.2321199968</v>
      </c>
      <c r="L14" s="31">
        <f t="shared" si="5"/>
        <v>49.57111522</v>
      </c>
      <c r="M14" s="26">
        <v>1233649.691609998</v>
      </c>
      <c r="N14" s="31">
        <f t="shared" si="6"/>
        <v>45.33688334</v>
      </c>
      <c r="O14" s="26">
        <v>212065.09551000004</v>
      </c>
      <c r="P14" s="31">
        <f t="shared" si="7"/>
        <v>7.793436468</v>
      </c>
      <c r="Q14" s="26">
        <v>1055071.1628699997</v>
      </c>
      <c r="R14" s="31">
        <f t="shared" si="8"/>
        <v>38.77408518</v>
      </c>
      <c r="S14" s="26">
        <v>458685.76501000003</v>
      </c>
      <c r="T14" s="31">
        <f t="shared" si="9"/>
        <v>16.85679748</v>
      </c>
      <c r="U14" s="26">
        <v>535148.1000900002</v>
      </c>
      <c r="V14" s="31">
        <f t="shared" si="10"/>
        <v>19.66680424</v>
      </c>
      <c r="W14" s="26">
        <v>4534.1358</v>
      </c>
      <c r="X14" s="31">
        <f t="shared" si="11"/>
        <v>0.1666304359</v>
      </c>
    </row>
    <row r="15">
      <c r="A15" s="25" t="s">
        <v>48</v>
      </c>
      <c r="B15" s="26">
        <v>2664358.0</v>
      </c>
      <c r="C15" s="26">
        <v>609629.6327999999</v>
      </c>
      <c r="D15" s="31">
        <f t="shared" si="1"/>
        <v>22.88092039</v>
      </c>
      <c r="E15" s="26">
        <v>572819.2313399999</v>
      </c>
      <c r="F15" s="31">
        <f t="shared" si="2"/>
        <v>21.49933422</v>
      </c>
      <c r="G15" s="26">
        <v>53595.7134</v>
      </c>
      <c r="H15" s="31">
        <f t="shared" si="3"/>
        <v>2.011580779</v>
      </c>
      <c r="I15" s="26">
        <v>133557.98700000002</v>
      </c>
      <c r="J15" s="31">
        <f t="shared" si="4"/>
        <v>5.012764313</v>
      </c>
      <c r="K15" s="26">
        <v>765125.3779100003</v>
      </c>
      <c r="L15" s="31">
        <f t="shared" si="5"/>
        <v>28.71706347</v>
      </c>
      <c r="M15" s="26">
        <v>266310.48603000003</v>
      </c>
      <c r="N15" s="31">
        <f t="shared" si="6"/>
        <v>9.995296654</v>
      </c>
      <c r="O15" s="26">
        <v>43288.0256</v>
      </c>
      <c r="P15" s="31">
        <f t="shared" si="7"/>
        <v>1.624707551</v>
      </c>
      <c r="Q15" s="26">
        <v>718299.90488</v>
      </c>
      <c r="R15" s="31">
        <f t="shared" si="8"/>
        <v>26.9595867</v>
      </c>
      <c r="S15" s="26">
        <v>215577.93671000004</v>
      </c>
      <c r="T15" s="31">
        <f t="shared" si="9"/>
        <v>8.091177564</v>
      </c>
      <c r="U15" s="26">
        <v>405378.9528000001</v>
      </c>
      <c r="V15" s="31">
        <f t="shared" si="10"/>
        <v>15.21488301</v>
      </c>
      <c r="W15" s="26">
        <v>191879.39404</v>
      </c>
      <c r="X15" s="31">
        <f t="shared" si="11"/>
        <v>7.201712159</v>
      </c>
    </row>
    <row r="16">
      <c r="A16" s="25" t="s">
        <v>50</v>
      </c>
      <c r="B16" s="26">
        <v>772686.0</v>
      </c>
      <c r="C16" s="26">
        <v>106798.07264999999</v>
      </c>
      <c r="D16" s="31">
        <f t="shared" si="1"/>
        <v>13.82166529</v>
      </c>
      <c r="E16" s="26">
        <v>215.30618</v>
      </c>
      <c r="F16" s="31">
        <f t="shared" si="2"/>
        <v>0.02786464101</v>
      </c>
      <c r="G16" s="26">
        <v>0.0</v>
      </c>
      <c r="H16" s="31">
        <f t="shared" si="3"/>
        <v>0</v>
      </c>
      <c r="I16" s="26">
        <v>68300.69946999999</v>
      </c>
      <c r="J16" s="31">
        <f t="shared" si="4"/>
        <v>8.839386176</v>
      </c>
      <c r="K16" s="26">
        <v>203327.76300000006</v>
      </c>
      <c r="L16" s="31">
        <f t="shared" si="5"/>
        <v>26.31441012</v>
      </c>
      <c r="M16" s="26">
        <v>174719.45647</v>
      </c>
      <c r="N16" s="31">
        <f t="shared" si="6"/>
        <v>22.61196093</v>
      </c>
      <c r="O16" s="26">
        <v>42620.103019999995</v>
      </c>
      <c r="P16" s="31">
        <f t="shared" si="7"/>
        <v>5.515837354</v>
      </c>
      <c r="Q16" s="26">
        <v>317148.18079000036</v>
      </c>
      <c r="R16" s="31">
        <f t="shared" si="8"/>
        <v>41.04489803</v>
      </c>
      <c r="S16" s="26">
        <v>88597.41103</v>
      </c>
      <c r="T16" s="31">
        <f t="shared" si="9"/>
        <v>11.46615974</v>
      </c>
      <c r="U16" s="26">
        <v>181769.00739000007</v>
      </c>
      <c r="V16" s="31">
        <f t="shared" si="10"/>
        <v>23.52430449</v>
      </c>
      <c r="W16" s="26">
        <v>94121.09561000003</v>
      </c>
      <c r="X16" s="31">
        <f t="shared" si="11"/>
        <v>12.18102769</v>
      </c>
    </row>
    <row r="17">
      <c r="A17" s="25" t="s">
        <v>51</v>
      </c>
      <c r="B17" s="26">
        <v>1563470.0</v>
      </c>
      <c r="C17" s="26">
        <v>734127.3001750002</v>
      </c>
      <c r="D17" s="31">
        <f t="shared" si="1"/>
        <v>46.95499755</v>
      </c>
      <c r="E17" s="26">
        <v>24317.89746</v>
      </c>
      <c r="F17" s="31">
        <f t="shared" si="2"/>
        <v>1.555379858</v>
      </c>
      <c r="G17" s="26">
        <v>17107.025598</v>
      </c>
      <c r="H17" s="31">
        <f t="shared" si="3"/>
        <v>1.094170377</v>
      </c>
      <c r="I17" s="26">
        <v>31999.430029999996</v>
      </c>
      <c r="J17" s="31">
        <f t="shared" si="4"/>
        <v>2.046692935</v>
      </c>
      <c r="K17" s="26">
        <v>216529.72990999997</v>
      </c>
      <c r="L17" s="31">
        <f t="shared" si="5"/>
        <v>13.84930507</v>
      </c>
      <c r="M17" s="26">
        <v>198437.87314199997</v>
      </c>
      <c r="N17" s="31">
        <f t="shared" si="6"/>
        <v>12.6921446</v>
      </c>
      <c r="O17" s="26">
        <v>65551.48234</v>
      </c>
      <c r="P17" s="31">
        <f t="shared" si="7"/>
        <v>4.192692047</v>
      </c>
      <c r="Q17" s="26">
        <v>372693.62490899995</v>
      </c>
      <c r="R17" s="31">
        <f t="shared" si="8"/>
        <v>23.83759362</v>
      </c>
      <c r="S17" s="26">
        <v>202305.52781699997</v>
      </c>
      <c r="T17" s="31">
        <f t="shared" si="9"/>
        <v>12.93952093</v>
      </c>
      <c r="U17" s="26">
        <v>277610.15532900003</v>
      </c>
      <c r="V17" s="31">
        <f t="shared" si="10"/>
        <v>17.756027</v>
      </c>
      <c r="W17" s="26">
        <v>25856.745949999997</v>
      </c>
      <c r="X17" s="31">
        <f t="shared" si="11"/>
        <v>1.653805059</v>
      </c>
    </row>
    <row r="18">
      <c r="A18" s="25" t="s">
        <v>53</v>
      </c>
      <c r="B18" s="26">
        <v>1831734.0</v>
      </c>
      <c r="C18" s="26">
        <v>612442.3376100003</v>
      </c>
      <c r="D18" s="31">
        <f t="shared" si="1"/>
        <v>33.43511326</v>
      </c>
      <c r="E18" s="26">
        <v>30101.643649999998</v>
      </c>
      <c r="F18" s="31">
        <f t="shared" si="2"/>
        <v>1.643341427</v>
      </c>
      <c r="G18" s="26">
        <v>2672.92395</v>
      </c>
      <c r="H18" s="31">
        <f t="shared" si="3"/>
        <v>0.1459231499</v>
      </c>
      <c r="I18" s="26">
        <v>4196.06879</v>
      </c>
      <c r="J18" s="31">
        <f t="shared" si="4"/>
        <v>0.2290763173</v>
      </c>
      <c r="K18" s="26">
        <v>689150.0069900004</v>
      </c>
      <c r="L18" s="31">
        <f t="shared" si="5"/>
        <v>37.62282116</v>
      </c>
      <c r="M18" s="26">
        <v>253651.50453999994</v>
      </c>
      <c r="N18" s="31">
        <f t="shared" si="6"/>
        <v>13.84761677</v>
      </c>
      <c r="O18" s="26">
        <v>234620.24472000002</v>
      </c>
      <c r="P18" s="31">
        <f t="shared" si="7"/>
        <v>12.80864169</v>
      </c>
      <c r="Q18" s="26">
        <v>641018.4138999995</v>
      </c>
      <c r="R18" s="31">
        <f t="shared" si="8"/>
        <v>34.99516927</v>
      </c>
      <c r="S18" s="26">
        <v>222509.76096</v>
      </c>
      <c r="T18" s="31">
        <f t="shared" si="9"/>
        <v>12.14749308</v>
      </c>
      <c r="U18" s="26">
        <v>52816.26092000001</v>
      </c>
      <c r="V18" s="31">
        <f t="shared" si="10"/>
        <v>2.883402335</v>
      </c>
      <c r="W18" s="26">
        <v>0.0</v>
      </c>
      <c r="X18" s="31">
        <f t="shared" si="11"/>
        <v>0</v>
      </c>
    </row>
    <row r="19">
      <c r="A19" s="25" t="s">
        <v>54</v>
      </c>
      <c r="B19" s="26">
        <v>1564597.0</v>
      </c>
      <c r="C19" s="26">
        <v>35633.96276</v>
      </c>
      <c r="D19" s="31">
        <f t="shared" si="1"/>
        <v>2.277517007</v>
      </c>
      <c r="E19" s="26">
        <v>540.55902</v>
      </c>
      <c r="F19" s="31">
        <f t="shared" si="2"/>
        <v>0.03454940921</v>
      </c>
      <c r="G19" s="26">
        <v>253.60223</v>
      </c>
      <c r="H19" s="31">
        <f t="shared" si="3"/>
        <v>0.01620878923</v>
      </c>
      <c r="I19" s="26">
        <v>19701.510060000004</v>
      </c>
      <c r="J19" s="31">
        <f t="shared" si="4"/>
        <v>1.259206688</v>
      </c>
      <c r="K19" s="26">
        <v>473701.54879999993</v>
      </c>
      <c r="L19" s="31">
        <f t="shared" si="5"/>
        <v>30.27626595</v>
      </c>
      <c r="M19" s="26">
        <v>321596.19138999993</v>
      </c>
      <c r="N19" s="31">
        <f t="shared" si="6"/>
        <v>20.55457037</v>
      </c>
      <c r="O19" s="26">
        <v>61191.550429999996</v>
      </c>
      <c r="P19" s="31">
        <f t="shared" si="7"/>
        <v>3.911010339</v>
      </c>
      <c r="Q19" s="26">
        <v>874131.2761499997</v>
      </c>
      <c r="R19" s="31">
        <f t="shared" si="8"/>
        <v>55.86942044</v>
      </c>
      <c r="S19" s="26">
        <v>81917.99343000002</v>
      </c>
      <c r="T19" s="31">
        <f t="shared" si="9"/>
        <v>5.235724818</v>
      </c>
      <c r="U19" s="26">
        <v>154298.6776100001</v>
      </c>
      <c r="V19" s="31">
        <f t="shared" si="10"/>
        <v>9.861879935</v>
      </c>
      <c r="W19" s="26">
        <v>13248.42466</v>
      </c>
      <c r="X19" s="31">
        <f t="shared" si="11"/>
        <v>0.8467627549</v>
      </c>
    </row>
    <row r="20">
      <c r="A20" s="25" t="s">
        <v>56</v>
      </c>
      <c r="B20" s="26">
        <v>1278925.0</v>
      </c>
      <c r="C20" s="26">
        <v>168839.79204900007</v>
      </c>
      <c r="D20" s="31">
        <f t="shared" si="1"/>
        <v>13.20169612</v>
      </c>
      <c r="E20" s="26">
        <v>8603.140516</v>
      </c>
      <c r="F20" s="31">
        <f t="shared" si="2"/>
        <v>0.6726853034</v>
      </c>
      <c r="G20" s="26">
        <v>1391.4937</v>
      </c>
      <c r="H20" s="31">
        <f t="shared" si="3"/>
        <v>0.1088018218</v>
      </c>
      <c r="I20" s="26">
        <v>16979.732925999997</v>
      </c>
      <c r="J20" s="31">
        <f t="shared" si="4"/>
        <v>1.327656659</v>
      </c>
      <c r="K20" s="26">
        <v>207066.19293300004</v>
      </c>
      <c r="L20" s="31">
        <f t="shared" si="5"/>
        <v>16.19064393</v>
      </c>
      <c r="M20" s="26">
        <v>327991.83211399976</v>
      </c>
      <c r="N20" s="31">
        <f t="shared" si="6"/>
        <v>25.64590043</v>
      </c>
      <c r="O20" s="26">
        <v>109407.55002100002</v>
      </c>
      <c r="P20" s="31">
        <f t="shared" si="7"/>
        <v>8.554649414</v>
      </c>
      <c r="Q20" s="26">
        <v>764704.8061300005</v>
      </c>
      <c r="R20" s="31">
        <f t="shared" si="8"/>
        <v>59.79277957</v>
      </c>
      <c r="S20" s="26">
        <v>360750.21272599994</v>
      </c>
      <c r="T20" s="31">
        <f t="shared" si="9"/>
        <v>28.20730009</v>
      </c>
      <c r="U20" s="26">
        <v>46134.96595400001</v>
      </c>
      <c r="V20" s="31">
        <f t="shared" si="10"/>
        <v>3.607323804</v>
      </c>
      <c r="W20" s="26">
        <v>51104.965082999996</v>
      </c>
      <c r="X20" s="31">
        <f t="shared" si="11"/>
        <v>3.995931355</v>
      </c>
    </row>
    <row r="21" ht="15.75" customHeight="1">
      <c r="A21" s="25" t="s">
        <v>57</v>
      </c>
      <c r="B21" s="26">
        <v>954963.0</v>
      </c>
      <c r="C21" s="26">
        <v>212908.4866700001</v>
      </c>
      <c r="D21" s="31">
        <f t="shared" si="1"/>
        <v>22.29494616</v>
      </c>
      <c r="E21" s="26">
        <v>4032.27</v>
      </c>
      <c r="F21" s="31">
        <f t="shared" si="2"/>
        <v>0.4222435843</v>
      </c>
      <c r="G21" s="26">
        <v>4900.41075</v>
      </c>
      <c r="H21" s="31">
        <f t="shared" si="3"/>
        <v>0.513151897</v>
      </c>
      <c r="I21" s="26">
        <v>1070.5822</v>
      </c>
      <c r="J21" s="31">
        <f t="shared" si="4"/>
        <v>0.1121071916</v>
      </c>
      <c r="K21" s="26">
        <v>129101.30792</v>
      </c>
      <c r="L21" s="31">
        <f t="shared" si="5"/>
        <v>13.51898533</v>
      </c>
      <c r="M21" s="26">
        <v>41797.21388999999</v>
      </c>
      <c r="N21" s="31">
        <f t="shared" si="6"/>
        <v>4.376841185</v>
      </c>
      <c r="O21" s="26">
        <v>111884.41220000004</v>
      </c>
      <c r="P21" s="31">
        <f t="shared" si="7"/>
        <v>11.71609918</v>
      </c>
      <c r="Q21" s="26">
        <v>576249.1740799998</v>
      </c>
      <c r="R21" s="31">
        <f t="shared" si="8"/>
        <v>60.34256553</v>
      </c>
      <c r="S21" s="26">
        <v>44177.45685</v>
      </c>
      <c r="T21" s="31">
        <f t="shared" si="9"/>
        <v>4.626090943</v>
      </c>
      <c r="U21" s="26">
        <v>94105.72419999998</v>
      </c>
      <c r="V21" s="31">
        <f t="shared" si="10"/>
        <v>9.854384327</v>
      </c>
      <c r="W21" s="26">
        <v>6773.34837</v>
      </c>
      <c r="X21" s="31">
        <f t="shared" si="11"/>
        <v>0.7092786181</v>
      </c>
    </row>
    <row r="22" ht="15.75" customHeight="1">
      <c r="A22" s="25" t="s">
        <v>59</v>
      </c>
      <c r="B22" s="26">
        <v>1136385.0</v>
      </c>
      <c r="C22" s="26">
        <v>177646.38730000023</v>
      </c>
      <c r="D22" s="31">
        <f t="shared" si="1"/>
        <v>15.63258819</v>
      </c>
      <c r="E22" s="26">
        <v>40300.82477000001</v>
      </c>
      <c r="F22" s="31">
        <f t="shared" si="2"/>
        <v>3.546405907</v>
      </c>
      <c r="G22" s="26">
        <v>4638.64232</v>
      </c>
      <c r="H22" s="31">
        <f t="shared" si="3"/>
        <v>0.4081928501</v>
      </c>
      <c r="I22" s="26">
        <v>18824.17333</v>
      </c>
      <c r="J22" s="31">
        <f t="shared" si="4"/>
        <v>1.656496111</v>
      </c>
      <c r="K22" s="26">
        <v>421074.1315499998</v>
      </c>
      <c r="L22" s="31">
        <f t="shared" si="5"/>
        <v>37.05382696</v>
      </c>
      <c r="M22" s="26">
        <v>364246.0482300002</v>
      </c>
      <c r="N22" s="31">
        <f t="shared" si="6"/>
        <v>32.05304965</v>
      </c>
      <c r="O22" s="26">
        <v>71064.2397</v>
      </c>
      <c r="P22" s="31">
        <f t="shared" si="7"/>
        <v>6.253535527</v>
      </c>
      <c r="Q22" s="26">
        <v>443002.4249399999</v>
      </c>
      <c r="R22" s="31">
        <f t="shared" si="8"/>
        <v>38.98348051</v>
      </c>
      <c r="S22" s="26">
        <v>66304.08074</v>
      </c>
      <c r="T22" s="31">
        <f t="shared" si="9"/>
        <v>5.834649414</v>
      </c>
      <c r="U22" s="26">
        <v>150186.06267999997</v>
      </c>
      <c r="V22" s="31">
        <f t="shared" si="10"/>
        <v>13.21612505</v>
      </c>
      <c r="W22" s="26">
        <v>12249.57618</v>
      </c>
      <c r="X22" s="31">
        <f t="shared" si="11"/>
        <v>1.077942439</v>
      </c>
    </row>
    <row r="23" ht="15.75" customHeight="1">
      <c r="A23" s="25" t="s">
        <v>60</v>
      </c>
      <c r="B23" s="26">
        <v>1482889.0</v>
      </c>
      <c r="C23" s="26">
        <v>547206.3669800003</v>
      </c>
      <c r="D23" s="31">
        <f t="shared" si="1"/>
        <v>36.9013707</v>
      </c>
      <c r="E23" s="26">
        <v>4156.15153</v>
      </c>
      <c r="F23" s="31">
        <f t="shared" si="2"/>
        <v>0.280273947</v>
      </c>
      <c r="G23" s="26">
        <v>5393.5604</v>
      </c>
      <c r="H23" s="31">
        <f t="shared" si="3"/>
        <v>0.3637197659</v>
      </c>
      <c r="I23" s="26">
        <v>36827.889</v>
      </c>
      <c r="J23" s="31">
        <f t="shared" si="4"/>
        <v>2.483522974</v>
      </c>
      <c r="K23" s="26">
        <v>300404.8891600001</v>
      </c>
      <c r="L23" s="31">
        <f t="shared" si="5"/>
        <v>20.25808332</v>
      </c>
      <c r="M23" s="26">
        <v>224374.74352000005</v>
      </c>
      <c r="N23" s="31">
        <f t="shared" si="6"/>
        <v>15.13091968</v>
      </c>
      <c r="O23" s="26">
        <v>88234.89662</v>
      </c>
      <c r="P23" s="31">
        <f t="shared" si="7"/>
        <v>5.950202383</v>
      </c>
      <c r="Q23" s="26">
        <v>465238.3296700002</v>
      </c>
      <c r="R23" s="31">
        <f t="shared" si="8"/>
        <v>31.37377981</v>
      </c>
      <c r="S23" s="26">
        <v>148870.10491999998</v>
      </c>
      <c r="T23" s="31">
        <f t="shared" si="9"/>
        <v>10.03919409</v>
      </c>
      <c r="U23" s="26">
        <v>338424.80696000025</v>
      </c>
      <c r="V23" s="31">
        <f t="shared" si="10"/>
        <v>22.82199187</v>
      </c>
      <c r="W23" s="26">
        <v>23501.82733</v>
      </c>
      <c r="X23" s="31">
        <f t="shared" si="11"/>
        <v>1.584867602</v>
      </c>
    </row>
    <row r="24" ht="15.75" customHeight="1">
      <c r="A24" s="25" t="s">
        <v>63</v>
      </c>
      <c r="B24" s="26">
        <v>1270455.0</v>
      </c>
      <c r="C24" s="26">
        <v>332351.34581</v>
      </c>
      <c r="D24" s="31">
        <f t="shared" si="1"/>
        <v>26.16002502</v>
      </c>
      <c r="E24" s="26">
        <v>20687.8402</v>
      </c>
      <c r="F24" s="31">
        <f t="shared" si="2"/>
        <v>1.628380399</v>
      </c>
      <c r="G24" s="26">
        <v>11379.447400000001</v>
      </c>
      <c r="H24" s="31">
        <f t="shared" si="3"/>
        <v>0.8956985804</v>
      </c>
      <c r="I24" s="26">
        <v>42921.36636000001</v>
      </c>
      <c r="J24" s="31">
        <f t="shared" si="4"/>
        <v>3.378424766</v>
      </c>
      <c r="K24" s="26">
        <v>418263.9010100003</v>
      </c>
      <c r="L24" s="31">
        <f t="shared" si="5"/>
        <v>32.92237041</v>
      </c>
      <c r="M24" s="26">
        <v>368453.06683000014</v>
      </c>
      <c r="N24" s="31">
        <f t="shared" si="6"/>
        <v>29.00166215</v>
      </c>
      <c r="O24" s="26">
        <v>54849.47701000001</v>
      </c>
      <c r="P24" s="31">
        <f t="shared" si="7"/>
        <v>4.317309705</v>
      </c>
      <c r="Q24" s="26">
        <v>766826.8956399991</v>
      </c>
      <c r="R24" s="31">
        <f t="shared" si="8"/>
        <v>60.35844604</v>
      </c>
      <c r="S24" s="26">
        <v>222984.06633999993</v>
      </c>
      <c r="T24" s="31">
        <f t="shared" si="9"/>
        <v>17.55151236</v>
      </c>
      <c r="U24" s="26">
        <v>120936.99975999998</v>
      </c>
      <c r="V24" s="31">
        <f t="shared" si="10"/>
        <v>9.519187989</v>
      </c>
      <c r="W24" s="26">
        <v>10679.03577</v>
      </c>
      <c r="X24" s="31">
        <f t="shared" si="11"/>
        <v>0.84056781</v>
      </c>
    </row>
    <row r="25" ht="15.75" customHeight="1">
      <c r="A25" s="25" t="s">
        <v>64</v>
      </c>
      <c r="B25" s="26">
        <v>900962.0</v>
      </c>
      <c r="C25" s="26">
        <v>305939.53036000003</v>
      </c>
      <c r="D25" s="31">
        <f t="shared" si="1"/>
        <v>33.95698491</v>
      </c>
      <c r="E25" s="26">
        <v>5143.38941</v>
      </c>
      <c r="F25" s="31">
        <f t="shared" si="2"/>
        <v>0.5708775076</v>
      </c>
      <c r="G25" s="26">
        <v>4857.424569999999</v>
      </c>
      <c r="H25" s="31">
        <f t="shared" si="3"/>
        <v>0.539137563</v>
      </c>
      <c r="I25" s="26">
        <v>7504.0756</v>
      </c>
      <c r="J25" s="31">
        <f t="shared" si="4"/>
        <v>0.8328959046</v>
      </c>
      <c r="K25" s="26">
        <v>314866.70700999984</v>
      </c>
      <c r="L25" s="31">
        <f t="shared" si="5"/>
        <v>34.94783432</v>
      </c>
      <c r="M25" s="26">
        <v>341028.43768999993</v>
      </c>
      <c r="N25" s="31">
        <f t="shared" si="6"/>
        <v>37.85158949</v>
      </c>
      <c r="O25" s="26">
        <v>164411.59297999993</v>
      </c>
      <c r="P25" s="31">
        <f t="shared" si="7"/>
        <v>18.24844921</v>
      </c>
      <c r="Q25" s="26">
        <v>317139.0521499998</v>
      </c>
      <c r="R25" s="31">
        <f t="shared" si="8"/>
        <v>35.20004752</v>
      </c>
      <c r="S25" s="26">
        <v>78550.67928</v>
      </c>
      <c r="T25" s="31">
        <f t="shared" si="9"/>
        <v>8.718534109</v>
      </c>
      <c r="U25" s="26">
        <v>37907.87174</v>
      </c>
      <c r="V25" s="31">
        <f t="shared" si="10"/>
        <v>4.207488411</v>
      </c>
      <c r="W25" s="26">
        <v>4402.22951</v>
      </c>
      <c r="X25" s="31">
        <f t="shared" si="11"/>
        <v>0.4886143378</v>
      </c>
    </row>
    <row r="26" ht="15.75" customHeight="1">
      <c r="A26" s="25" t="s">
        <v>65</v>
      </c>
      <c r="B26" s="26">
        <v>863927.0</v>
      </c>
      <c r="C26" s="26">
        <v>429205.6188640005</v>
      </c>
      <c r="D26" s="31">
        <f t="shared" si="1"/>
        <v>49.68077382</v>
      </c>
      <c r="E26" s="26">
        <v>7510.86909</v>
      </c>
      <c r="F26" s="31">
        <f t="shared" si="2"/>
        <v>0.8693870072</v>
      </c>
      <c r="G26" s="26">
        <v>1019.4633</v>
      </c>
      <c r="H26" s="31">
        <f t="shared" si="3"/>
        <v>0.1180034077</v>
      </c>
      <c r="I26" s="26">
        <v>4219.7587699999995</v>
      </c>
      <c r="J26" s="31">
        <f t="shared" si="4"/>
        <v>0.4884392744</v>
      </c>
      <c r="K26" s="26">
        <v>20831.673700000007</v>
      </c>
      <c r="L26" s="31">
        <f t="shared" si="5"/>
        <v>2.411277075</v>
      </c>
      <c r="M26" s="26">
        <v>309810.6329339997</v>
      </c>
      <c r="N26" s="31">
        <f t="shared" si="6"/>
        <v>35.86074205</v>
      </c>
      <c r="O26" s="26">
        <v>247961.5343860001</v>
      </c>
      <c r="P26" s="31">
        <f t="shared" si="7"/>
        <v>28.70167669</v>
      </c>
      <c r="Q26" s="26">
        <v>226569.60844000004</v>
      </c>
      <c r="R26" s="31">
        <f t="shared" si="8"/>
        <v>26.22555013</v>
      </c>
      <c r="S26" s="26">
        <v>152603.34246</v>
      </c>
      <c r="T26" s="31">
        <f t="shared" si="9"/>
        <v>17.66391633</v>
      </c>
      <c r="U26" s="26">
        <v>9855.772690000002</v>
      </c>
      <c r="V26" s="31">
        <f t="shared" si="10"/>
        <v>1.14081082</v>
      </c>
      <c r="W26" s="26">
        <v>26042.966359999984</v>
      </c>
      <c r="X26" s="31">
        <f t="shared" si="11"/>
        <v>3.014486914</v>
      </c>
    </row>
    <row r="27" ht="15.75" customHeight="1">
      <c r="A27" s="28"/>
      <c r="B27" s="28"/>
      <c r="C27" s="28"/>
      <c r="D27" s="28"/>
      <c r="E27" s="28"/>
      <c r="F27" s="28"/>
      <c r="G27" s="28"/>
      <c r="H27" s="28"/>
      <c r="I27" s="28"/>
      <c r="J27" s="28"/>
      <c r="K27" s="28"/>
      <c r="L27" s="28"/>
      <c r="M27" s="28"/>
      <c r="N27" s="28"/>
      <c r="O27" s="28"/>
      <c r="P27" s="28"/>
      <c r="Q27" s="28"/>
      <c r="R27" s="28"/>
      <c r="S27" s="28"/>
      <c r="T27" s="28"/>
      <c r="U27" s="28"/>
      <c r="V27" s="28"/>
      <c r="W27" s="28"/>
      <c r="X27" s="28"/>
    </row>
    <row r="28" ht="15.75" customHeight="1">
      <c r="A28" s="8"/>
      <c r="B28" s="9"/>
      <c r="C28" s="9"/>
      <c r="D28" s="9"/>
      <c r="E28" s="9"/>
      <c r="F28" s="9"/>
      <c r="G28" s="9"/>
      <c r="H28" s="9"/>
      <c r="I28" s="9"/>
      <c r="J28" s="9"/>
      <c r="K28" s="9"/>
      <c r="L28" s="9"/>
      <c r="M28" s="9"/>
      <c r="N28" s="9"/>
      <c r="O28" s="9"/>
      <c r="P28" s="9"/>
      <c r="Q28" s="9"/>
      <c r="R28" s="9"/>
      <c r="S28" s="9"/>
      <c r="T28" s="9"/>
      <c r="U28" s="9"/>
      <c r="V28" s="9"/>
      <c r="W28" s="9"/>
      <c r="X28" s="9"/>
    </row>
    <row r="29" ht="15.75" customHeight="1">
      <c r="A29" s="10" t="s">
        <v>13</v>
      </c>
      <c r="B29" s="12">
        <v>2024.0</v>
      </c>
      <c r="C29" s="14"/>
      <c r="D29" s="14"/>
      <c r="E29" s="14"/>
      <c r="F29" s="14"/>
      <c r="G29" s="14"/>
      <c r="H29" s="14"/>
      <c r="I29" s="14"/>
      <c r="J29" s="14"/>
      <c r="K29" s="14"/>
      <c r="L29" s="14"/>
      <c r="M29" s="14"/>
      <c r="N29" s="14"/>
      <c r="O29" s="14"/>
      <c r="P29" s="14"/>
      <c r="Q29" s="14"/>
      <c r="R29" s="14"/>
      <c r="S29" s="14"/>
      <c r="T29" s="14"/>
      <c r="U29" s="14"/>
      <c r="V29" s="14"/>
      <c r="W29" s="14"/>
      <c r="X29" s="15"/>
    </row>
    <row r="30" ht="15.0" customHeight="1">
      <c r="A30" s="17"/>
      <c r="B30" s="21" t="s">
        <v>320</v>
      </c>
      <c r="C30" s="42" t="s">
        <v>321</v>
      </c>
      <c r="D30" s="14"/>
      <c r="E30" s="14"/>
      <c r="F30" s="14"/>
      <c r="G30" s="14"/>
      <c r="H30" s="14"/>
      <c r="I30" s="14"/>
      <c r="J30" s="14"/>
      <c r="K30" s="14"/>
      <c r="L30" s="14"/>
      <c r="M30" s="14"/>
      <c r="N30" s="14"/>
      <c r="O30" s="14"/>
      <c r="P30" s="14"/>
      <c r="Q30" s="14"/>
      <c r="R30" s="14"/>
      <c r="S30" s="14"/>
      <c r="T30" s="14"/>
      <c r="U30" s="14"/>
      <c r="V30" s="14"/>
      <c r="W30" s="14"/>
      <c r="X30" s="15"/>
    </row>
    <row r="31" ht="30.0" customHeight="1">
      <c r="A31" s="17"/>
      <c r="B31" s="17"/>
      <c r="C31" s="13" t="s">
        <v>322</v>
      </c>
      <c r="D31" s="15"/>
      <c r="E31" s="13" t="s">
        <v>323</v>
      </c>
      <c r="F31" s="15"/>
      <c r="G31" s="13" t="s">
        <v>312</v>
      </c>
      <c r="H31" s="15"/>
      <c r="I31" s="13" t="s">
        <v>313</v>
      </c>
      <c r="J31" s="15"/>
      <c r="K31" s="13" t="s">
        <v>324</v>
      </c>
      <c r="L31" s="15"/>
      <c r="M31" s="13" t="s">
        <v>316</v>
      </c>
      <c r="N31" s="15"/>
      <c r="O31" s="13" t="s">
        <v>325</v>
      </c>
      <c r="P31" s="15"/>
      <c r="Q31" s="13" t="s">
        <v>326</v>
      </c>
      <c r="R31" s="15"/>
      <c r="S31" s="13" t="s">
        <v>327</v>
      </c>
      <c r="T31" s="15"/>
      <c r="U31" s="13" t="s">
        <v>328</v>
      </c>
      <c r="V31" s="15"/>
      <c r="W31" s="13" t="s">
        <v>170</v>
      </c>
      <c r="X31" s="15"/>
    </row>
    <row r="32" ht="15.75" customHeight="1">
      <c r="A32" s="18"/>
      <c r="B32" s="18"/>
      <c r="C32" s="24" t="s">
        <v>37</v>
      </c>
      <c r="D32" s="24" t="s">
        <v>39</v>
      </c>
      <c r="E32" s="24" t="s">
        <v>37</v>
      </c>
      <c r="F32" s="24" t="s">
        <v>39</v>
      </c>
      <c r="G32" s="24" t="s">
        <v>37</v>
      </c>
      <c r="H32" s="24" t="s">
        <v>39</v>
      </c>
      <c r="I32" s="24" t="s">
        <v>37</v>
      </c>
      <c r="J32" s="24" t="s">
        <v>39</v>
      </c>
      <c r="K32" s="24" t="s">
        <v>37</v>
      </c>
      <c r="L32" s="24" t="s">
        <v>39</v>
      </c>
      <c r="M32" s="24" t="s">
        <v>37</v>
      </c>
      <c r="N32" s="24" t="s">
        <v>39</v>
      </c>
      <c r="O32" s="24" t="s">
        <v>37</v>
      </c>
      <c r="P32" s="24" t="s">
        <v>39</v>
      </c>
      <c r="Q32" s="24" t="s">
        <v>37</v>
      </c>
      <c r="R32" s="24" t="s">
        <v>39</v>
      </c>
      <c r="S32" s="24" t="s">
        <v>37</v>
      </c>
      <c r="T32" s="24" t="s">
        <v>39</v>
      </c>
      <c r="U32" s="24" t="s">
        <v>37</v>
      </c>
      <c r="V32" s="24" t="s">
        <v>39</v>
      </c>
      <c r="W32" s="24" t="s">
        <v>37</v>
      </c>
      <c r="X32" s="24" t="s">
        <v>39</v>
      </c>
    </row>
    <row r="33" ht="15.75" customHeight="1">
      <c r="A33" s="16"/>
      <c r="B33" s="20"/>
      <c r="C33" s="20"/>
      <c r="D33" s="20"/>
      <c r="E33" s="20"/>
      <c r="F33" s="20"/>
      <c r="G33" s="20"/>
      <c r="H33" s="20"/>
      <c r="I33" s="20"/>
      <c r="J33" s="20"/>
      <c r="K33" s="20"/>
      <c r="L33" s="20"/>
      <c r="M33" s="20"/>
      <c r="N33" s="20"/>
      <c r="O33" s="20"/>
      <c r="P33" s="20"/>
      <c r="Q33" s="20"/>
      <c r="R33" s="20"/>
      <c r="S33" s="20"/>
      <c r="T33" s="20"/>
      <c r="U33" s="20"/>
      <c r="V33" s="20"/>
      <c r="W33" s="20"/>
      <c r="X33" s="20"/>
    </row>
    <row r="34" ht="15.75" customHeight="1">
      <c r="A34" s="22" t="s">
        <v>33</v>
      </c>
      <c r="B34" s="23">
        <v>2.9926147E7</v>
      </c>
      <c r="C34" s="23">
        <v>4805862.0</v>
      </c>
      <c r="D34" s="27">
        <f t="shared" ref="D34:D51" si="12">(C34/$B34)*100</f>
        <v>16.05907369</v>
      </c>
      <c r="E34" s="23">
        <v>1890427.0</v>
      </c>
      <c r="F34" s="27">
        <f t="shared" ref="F34:F51" si="13">(E34/$B34)*100</f>
        <v>6.31697425</v>
      </c>
      <c r="G34" s="23">
        <v>1300318.0</v>
      </c>
      <c r="H34" s="27">
        <f t="shared" ref="H34:H51" si="14">(G34/$B34)*100</f>
        <v>4.345089931</v>
      </c>
      <c r="I34" s="23">
        <v>1988431.0</v>
      </c>
      <c r="J34" s="27">
        <f t="shared" ref="J34:J51" si="15">(I34/$B34)*100</f>
        <v>6.644460445</v>
      </c>
      <c r="K34" s="23">
        <v>1.2468302E7</v>
      </c>
      <c r="L34" s="27">
        <f t="shared" ref="L34:L51" si="16">(K34/$B34)*100</f>
        <v>41.66357266</v>
      </c>
      <c r="M34" s="23">
        <v>9940860.0</v>
      </c>
      <c r="N34" s="27">
        <f t="shared" ref="N34:N51" si="17">(M34/$B34)*100</f>
        <v>33.2179749</v>
      </c>
      <c r="O34" s="23">
        <v>3733277.0</v>
      </c>
      <c r="P34" s="27">
        <f t="shared" ref="P34:P51" si="18">(O34/$B34)*100</f>
        <v>12.47496712</v>
      </c>
      <c r="Q34" s="23">
        <v>8833623.0</v>
      </c>
      <c r="R34" s="27">
        <f t="shared" ref="R34:R51" si="19">(Q34/$B34)*100</f>
        <v>29.51807662</v>
      </c>
      <c r="S34" s="23">
        <v>3412397.0</v>
      </c>
      <c r="T34" s="27">
        <f t="shared" ref="T34:T51" si="20">(S34/$B34)*100</f>
        <v>11.40272752</v>
      </c>
      <c r="U34" s="23">
        <v>4468962.0</v>
      </c>
      <c r="V34" s="27">
        <f t="shared" ref="V34:V51" si="21">(U34/$B34)*100</f>
        <v>14.93330231</v>
      </c>
      <c r="W34" s="23">
        <v>2213443.0</v>
      </c>
      <c r="X34" s="27">
        <f t="shared" ref="X34:X51" si="22">(W34/$B34)*100</f>
        <v>7.396351425</v>
      </c>
    </row>
    <row r="35" ht="15.75" customHeight="1">
      <c r="A35" s="25" t="s">
        <v>38</v>
      </c>
      <c r="B35" s="26">
        <v>2471172.0</v>
      </c>
      <c r="C35" s="26">
        <v>250889.0</v>
      </c>
      <c r="D35" s="31">
        <f t="shared" si="12"/>
        <v>10.15263203</v>
      </c>
      <c r="E35" s="26">
        <v>424951.0</v>
      </c>
      <c r="F35" s="31">
        <f t="shared" si="13"/>
        <v>17.19633437</v>
      </c>
      <c r="G35" s="26">
        <v>282013.0</v>
      </c>
      <c r="H35" s="31">
        <f t="shared" si="14"/>
        <v>11.41211538</v>
      </c>
      <c r="I35" s="26">
        <v>281605.0</v>
      </c>
      <c r="J35" s="31">
        <f t="shared" si="15"/>
        <v>11.395605</v>
      </c>
      <c r="K35" s="26">
        <v>1211296.0</v>
      </c>
      <c r="L35" s="31">
        <f t="shared" si="16"/>
        <v>49.01706559</v>
      </c>
      <c r="M35" s="26">
        <v>712552.0</v>
      </c>
      <c r="N35" s="31">
        <f t="shared" si="17"/>
        <v>28.83457728</v>
      </c>
      <c r="O35" s="26">
        <v>192203.0</v>
      </c>
      <c r="P35" s="31">
        <f t="shared" si="18"/>
        <v>7.777807453</v>
      </c>
      <c r="Q35" s="26">
        <v>365289.0</v>
      </c>
      <c r="R35" s="31">
        <f t="shared" si="19"/>
        <v>14.78201436</v>
      </c>
      <c r="S35" s="26">
        <v>143003.0</v>
      </c>
      <c r="T35" s="31">
        <f t="shared" si="20"/>
        <v>5.786849317</v>
      </c>
      <c r="U35" s="26">
        <v>365608.0</v>
      </c>
      <c r="V35" s="31">
        <f t="shared" si="21"/>
        <v>14.79492322</v>
      </c>
      <c r="W35" s="26">
        <v>81842.0</v>
      </c>
      <c r="X35" s="31">
        <f t="shared" si="22"/>
        <v>3.311869833</v>
      </c>
    </row>
    <row r="36" ht="15.75" customHeight="1">
      <c r="A36" s="25" t="s">
        <v>41</v>
      </c>
      <c r="B36" s="26">
        <v>421700.0</v>
      </c>
      <c r="C36" s="26">
        <v>91790.0</v>
      </c>
      <c r="D36" s="31">
        <f t="shared" si="12"/>
        <v>21.76665876</v>
      </c>
      <c r="E36" s="26">
        <v>16321.0</v>
      </c>
      <c r="F36" s="31">
        <f t="shared" si="13"/>
        <v>3.870286934</v>
      </c>
      <c r="G36" s="26">
        <v>16597.0</v>
      </c>
      <c r="H36" s="31">
        <f t="shared" si="14"/>
        <v>3.935736305</v>
      </c>
      <c r="I36" s="26">
        <v>27902.0</v>
      </c>
      <c r="J36" s="31">
        <f t="shared" si="15"/>
        <v>6.616552051</v>
      </c>
      <c r="K36" s="26">
        <v>105656.0</v>
      </c>
      <c r="L36" s="31">
        <f t="shared" si="16"/>
        <v>25.05477828</v>
      </c>
      <c r="M36" s="26">
        <v>147627.0</v>
      </c>
      <c r="N36" s="31">
        <f t="shared" si="17"/>
        <v>35.00758833</v>
      </c>
      <c r="O36" s="26">
        <v>58995.0</v>
      </c>
      <c r="P36" s="31">
        <f t="shared" si="18"/>
        <v>13.98980318</v>
      </c>
      <c r="Q36" s="26">
        <v>175429.0</v>
      </c>
      <c r="R36" s="31">
        <f t="shared" si="19"/>
        <v>41.60042684</v>
      </c>
      <c r="S36" s="26">
        <v>75894.0</v>
      </c>
      <c r="T36" s="31">
        <f t="shared" si="20"/>
        <v>17.99715438</v>
      </c>
      <c r="U36" s="26">
        <v>43189.0</v>
      </c>
      <c r="V36" s="31">
        <f t="shared" si="21"/>
        <v>10.24164098</v>
      </c>
      <c r="W36" s="26">
        <v>7990.0</v>
      </c>
      <c r="X36" s="31">
        <f t="shared" si="22"/>
        <v>1.89471188</v>
      </c>
    </row>
    <row r="37" ht="15.75" customHeight="1">
      <c r="A37" s="25" t="s">
        <v>43</v>
      </c>
      <c r="B37" s="26">
        <v>1128880.0</v>
      </c>
      <c r="C37" s="26">
        <v>85478.0</v>
      </c>
      <c r="D37" s="31">
        <f t="shared" si="12"/>
        <v>7.5719297</v>
      </c>
      <c r="E37" s="26">
        <v>36944.0</v>
      </c>
      <c r="F37" s="31">
        <f t="shared" si="13"/>
        <v>3.272624194</v>
      </c>
      <c r="G37" s="26">
        <v>10589.0</v>
      </c>
      <c r="H37" s="31">
        <f t="shared" si="14"/>
        <v>0.9380093544</v>
      </c>
      <c r="I37" s="26">
        <v>158034.0</v>
      </c>
      <c r="J37" s="31">
        <f t="shared" si="15"/>
        <v>13.99918503</v>
      </c>
      <c r="K37" s="26">
        <v>353502.0</v>
      </c>
      <c r="L37" s="31">
        <f t="shared" si="16"/>
        <v>31.31440011</v>
      </c>
      <c r="M37" s="26">
        <v>264521.0</v>
      </c>
      <c r="N37" s="31">
        <f t="shared" si="17"/>
        <v>23.43216285</v>
      </c>
      <c r="O37" s="26">
        <v>59703.0</v>
      </c>
      <c r="P37" s="31">
        <f t="shared" si="18"/>
        <v>5.288693218</v>
      </c>
      <c r="Q37" s="26">
        <v>484755.0</v>
      </c>
      <c r="R37" s="31">
        <f t="shared" si="19"/>
        <v>42.94123379</v>
      </c>
      <c r="S37" s="26">
        <v>245193.0</v>
      </c>
      <c r="T37" s="31">
        <f t="shared" si="20"/>
        <v>21.72002339</v>
      </c>
      <c r="U37" s="26">
        <v>166949.0</v>
      </c>
      <c r="V37" s="31">
        <f t="shared" si="21"/>
        <v>14.78890582</v>
      </c>
      <c r="W37" s="26">
        <v>123321.0</v>
      </c>
      <c r="X37" s="31">
        <f t="shared" si="22"/>
        <v>10.92419035</v>
      </c>
    </row>
    <row r="38" ht="15.75" customHeight="1">
      <c r="A38" s="25" t="s">
        <v>44</v>
      </c>
      <c r="B38" s="26">
        <v>765878.0</v>
      </c>
      <c r="C38" s="26">
        <v>121723.0</v>
      </c>
      <c r="D38" s="31">
        <f t="shared" si="12"/>
        <v>15.89326237</v>
      </c>
      <c r="E38" s="26">
        <v>27603.0</v>
      </c>
      <c r="F38" s="31">
        <f t="shared" si="13"/>
        <v>3.604098825</v>
      </c>
      <c r="G38" s="26">
        <v>25351.0</v>
      </c>
      <c r="H38" s="31">
        <f t="shared" si="14"/>
        <v>3.310057215</v>
      </c>
      <c r="I38" s="26">
        <v>92271.0</v>
      </c>
      <c r="J38" s="31">
        <f t="shared" si="15"/>
        <v>12.04774129</v>
      </c>
      <c r="K38" s="26">
        <v>323956.0</v>
      </c>
      <c r="L38" s="31">
        <f t="shared" si="16"/>
        <v>42.29864286</v>
      </c>
      <c r="M38" s="26">
        <v>175331.0</v>
      </c>
      <c r="N38" s="31">
        <f t="shared" si="17"/>
        <v>22.8928106</v>
      </c>
      <c r="O38" s="26">
        <v>65905.0</v>
      </c>
      <c r="P38" s="31">
        <f t="shared" si="18"/>
        <v>8.605156435</v>
      </c>
      <c r="Q38" s="26">
        <v>342416.0</v>
      </c>
      <c r="R38" s="31">
        <f t="shared" si="19"/>
        <v>44.70894842</v>
      </c>
      <c r="S38" s="26">
        <v>141156.0</v>
      </c>
      <c r="T38" s="31">
        <f t="shared" si="20"/>
        <v>18.43061166</v>
      </c>
      <c r="U38" s="26">
        <v>97518.0</v>
      </c>
      <c r="V38" s="31">
        <f t="shared" si="21"/>
        <v>12.73283734</v>
      </c>
      <c r="W38" s="26">
        <v>91199.0</v>
      </c>
      <c r="X38" s="31">
        <f t="shared" si="22"/>
        <v>11.90777121</v>
      </c>
    </row>
    <row r="39" ht="15.75" customHeight="1">
      <c r="A39" s="25" t="s">
        <v>46</v>
      </c>
      <c r="B39" s="26">
        <v>2781894.0</v>
      </c>
      <c r="C39" s="26">
        <v>392579.0</v>
      </c>
      <c r="D39" s="31">
        <f t="shared" si="12"/>
        <v>14.11193237</v>
      </c>
      <c r="E39" s="26">
        <v>118739.0</v>
      </c>
      <c r="F39" s="31">
        <f t="shared" si="13"/>
        <v>4.268279093</v>
      </c>
      <c r="G39" s="26">
        <v>110313.0</v>
      </c>
      <c r="H39" s="31">
        <f t="shared" si="14"/>
        <v>3.965391924</v>
      </c>
      <c r="I39" s="26">
        <v>194342.0</v>
      </c>
      <c r="J39" s="31">
        <f t="shared" si="15"/>
        <v>6.985959925</v>
      </c>
      <c r="K39" s="26">
        <v>938908.0</v>
      </c>
      <c r="L39" s="31">
        <f t="shared" si="16"/>
        <v>33.7506749</v>
      </c>
      <c r="M39" s="26">
        <v>979069.0</v>
      </c>
      <c r="N39" s="31">
        <f t="shared" si="17"/>
        <v>35.19433163</v>
      </c>
      <c r="O39" s="26">
        <v>324809.0</v>
      </c>
      <c r="P39" s="31">
        <f t="shared" si="18"/>
        <v>11.6758223</v>
      </c>
      <c r="Q39" s="26">
        <v>847296.0</v>
      </c>
      <c r="R39" s="31">
        <f t="shared" si="19"/>
        <v>30.45752282</v>
      </c>
      <c r="S39" s="26">
        <v>365285.0</v>
      </c>
      <c r="T39" s="31">
        <f t="shared" si="20"/>
        <v>13.13080225</v>
      </c>
      <c r="U39" s="26">
        <v>385523.0</v>
      </c>
      <c r="V39" s="31">
        <f t="shared" si="21"/>
        <v>13.85829223</v>
      </c>
      <c r="W39" s="26">
        <v>332668.0</v>
      </c>
      <c r="X39" s="31">
        <f t="shared" si="22"/>
        <v>11.95832767</v>
      </c>
    </row>
    <row r="40" ht="15.75" customHeight="1">
      <c r="A40" s="25" t="s">
        <v>48</v>
      </c>
      <c r="B40" s="26">
        <v>4006369.0</v>
      </c>
      <c r="C40" s="26">
        <v>1014155.0</v>
      </c>
      <c r="D40" s="31">
        <f t="shared" si="12"/>
        <v>25.31356947</v>
      </c>
      <c r="E40" s="26">
        <v>268910.0</v>
      </c>
      <c r="F40" s="31">
        <f t="shared" si="13"/>
        <v>6.712062718</v>
      </c>
      <c r="G40" s="26">
        <v>178567.0</v>
      </c>
      <c r="H40" s="31">
        <f t="shared" si="14"/>
        <v>4.457078217</v>
      </c>
      <c r="I40" s="26">
        <v>226049.0</v>
      </c>
      <c r="J40" s="31">
        <f t="shared" si="15"/>
        <v>5.642241142</v>
      </c>
      <c r="K40" s="26">
        <v>2228146.0</v>
      </c>
      <c r="L40" s="31">
        <f t="shared" si="16"/>
        <v>55.61509686</v>
      </c>
      <c r="M40" s="26">
        <v>952208.0</v>
      </c>
      <c r="N40" s="31">
        <f t="shared" si="17"/>
        <v>23.76735643</v>
      </c>
      <c r="O40" s="26">
        <v>277579.0</v>
      </c>
      <c r="P40" s="31">
        <f t="shared" si="18"/>
        <v>6.928443186</v>
      </c>
      <c r="Q40" s="26">
        <v>757094.0</v>
      </c>
      <c r="R40" s="31">
        <f t="shared" si="19"/>
        <v>18.89726084</v>
      </c>
      <c r="S40" s="26">
        <v>141671.0</v>
      </c>
      <c r="T40" s="31">
        <f t="shared" si="20"/>
        <v>3.536144574</v>
      </c>
      <c r="U40" s="26">
        <v>508475.0</v>
      </c>
      <c r="V40" s="31">
        <f t="shared" si="21"/>
        <v>12.69166669</v>
      </c>
      <c r="W40" s="26">
        <v>249121.0</v>
      </c>
      <c r="X40" s="31">
        <f t="shared" si="22"/>
        <v>6.218124192</v>
      </c>
    </row>
    <row r="41" ht="15.75" customHeight="1">
      <c r="A41" s="25" t="s">
        <v>50</v>
      </c>
      <c r="B41" s="26">
        <v>923877.0</v>
      </c>
      <c r="C41" s="26">
        <v>194297.0</v>
      </c>
      <c r="D41" s="31">
        <f t="shared" si="12"/>
        <v>21.03061338</v>
      </c>
      <c r="E41" s="26">
        <v>10451.0</v>
      </c>
      <c r="F41" s="31">
        <f t="shared" si="13"/>
        <v>1.131211189</v>
      </c>
      <c r="G41" s="26">
        <v>9051.0</v>
      </c>
      <c r="H41" s="31">
        <f t="shared" si="14"/>
        <v>0.9796758659</v>
      </c>
      <c r="I41" s="26">
        <v>58135.0</v>
      </c>
      <c r="J41" s="31">
        <f t="shared" si="15"/>
        <v>6.292504305</v>
      </c>
      <c r="K41" s="26">
        <v>131805.0</v>
      </c>
      <c r="L41" s="31">
        <f t="shared" si="16"/>
        <v>14.2665095</v>
      </c>
      <c r="M41" s="26">
        <v>172241.0</v>
      </c>
      <c r="N41" s="31">
        <f t="shared" si="17"/>
        <v>18.6432826</v>
      </c>
      <c r="O41" s="26">
        <v>147286.0</v>
      </c>
      <c r="P41" s="31">
        <f t="shared" si="18"/>
        <v>15.94216546</v>
      </c>
      <c r="Q41" s="26">
        <v>356425.0</v>
      </c>
      <c r="R41" s="31">
        <f t="shared" si="19"/>
        <v>38.57926975</v>
      </c>
      <c r="S41" s="26">
        <v>124047.0</v>
      </c>
      <c r="T41" s="31">
        <f t="shared" si="20"/>
        <v>13.42678733</v>
      </c>
      <c r="U41" s="26">
        <v>59988.0</v>
      </c>
      <c r="V41" s="31">
        <f t="shared" si="21"/>
        <v>6.49307213</v>
      </c>
      <c r="W41" s="26">
        <v>186506.0</v>
      </c>
      <c r="X41" s="31">
        <f t="shared" si="22"/>
        <v>20.18731931</v>
      </c>
    </row>
    <row r="42" ht="15.75" customHeight="1">
      <c r="A42" s="25" t="s">
        <v>51</v>
      </c>
      <c r="B42" s="26">
        <v>1790063.0</v>
      </c>
      <c r="C42" s="26">
        <v>165153.0</v>
      </c>
      <c r="D42" s="31">
        <f t="shared" si="12"/>
        <v>9.226099864</v>
      </c>
      <c r="E42" s="26">
        <v>127623.0</v>
      </c>
      <c r="F42" s="31">
        <f t="shared" si="13"/>
        <v>7.129525609</v>
      </c>
      <c r="G42" s="26">
        <v>57718.0</v>
      </c>
      <c r="H42" s="31">
        <f t="shared" si="14"/>
        <v>3.224355791</v>
      </c>
      <c r="I42" s="26">
        <v>106809.0</v>
      </c>
      <c r="J42" s="31">
        <f t="shared" si="15"/>
        <v>5.966773236</v>
      </c>
      <c r="K42" s="26">
        <v>813182.0</v>
      </c>
      <c r="L42" s="31">
        <f t="shared" si="16"/>
        <v>45.42756316</v>
      </c>
      <c r="M42" s="26">
        <v>662919.0</v>
      </c>
      <c r="N42" s="31">
        <f t="shared" si="17"/>
        <v>37.0332776</v>
      </c>
      <c r="O42" s="26">
        <v>130714.0</v>
      </c>
      <c r="P42" s="31">
        <f t="shared" si="18"/>
        <v>7.302201096</v>
      </c>
      <c r="Q42" s="26">
        <v>562679.0</v>
      </c>
      <c r="R42" s="31">
        <f t="shared" si="19"/>
        <v>31.43347469</v>
      </c>
      <c r="S42" s="26">
        <v>202775.0</v>
      </c>
      <c r="T42" s="31">
        <f t="shared" si="20"/>
        <v>11.3278136</v>
      </c>
      <c r="U42" s="26">
        <v>324085.0</v>
      </c>
      <c r="V42" s="31">
        <f t="shared" si="21"/>
        <v>18.10467006</v>
      </c>
      <c r="W42" s="26">
        <v>127728.0</v>
      </c>
      <c r="X42" s="31">
        <f t="shared" si="22"/>
        <v>7.135391324</v>
      </c>
    </row>
    <row r="43" ht="15.75" customHeight="1">
      <c r="A43" s="25" t="s">
        <v>53</v>
      </c>
      <c r="B43" s="26">
        <v>2533168.0</v>
      </c>
      <c r="C43" s="26">
        <v>312671.0</v>
      </c>
      <c r="D43" s="31">
        <f t="shared" si="12"/>
        <v>12.34308186</v>
      </c>
      <c r="E43" s="26">
        <v>240613.0</v>
      </c>
      <c r="F43" s="31">
        <f t="shared" si="13"/>
        <v>9.498501481</v>
      </c>
      <c r="G43" s="26">
        <v>129789.0</v>
      </c>
      <c r="H43" s="31">
        <f t="shared" si="14"/>
        <v>5.123584381</v>
      </c>
      <c r="I43" s="26">
        <v>172203.0</v>
      </c>
      <c r="J43" s="31">
        <f t="shared" si="15"/>
        <v>6.797930497</v>
      </c>
      <c r="K43" s="26">
        <v>836091.0</v>
      </c>
      <c r="L43" s="31">
        <f t="shared" si="16"/>
        <v>33.00574616</v>
      </c>
      <c r="M43" s="26">
        <v>875144.0</v>
      </c>
      <c r="N43" s="31">
        <f t="shared" si="17"/>
        <v>34.54741257</v>
      </c>
      <c r="O43" s="26">
        <v>382414.0</v>
      </c>
      <c r="P43" s="31">
        <f t="shared" si="18"/>
        <v>15.0962747</v>
      </c>
      <c r="Q43" s="26">
        <v>759958.0</v>
      </c>
      <c r="R43" s="31">
        <f t="shared" si="19"/>
        <v>30.00030002</v>
      </c>
      <c r="S43" s="26">
        <v>356479.0</v>
      </c>
      <c r="T43" s="31">
        <f t="shared" si="20"/>
        <v>14.07245789</v>
      </c>
      <c r="U43" s="26">
        <v>595690.0</v>
      </c>
      <c r="V43" s="31">
        <f t="shared" si="21"/>
        <v>23.51561365</v>
      </c>
      <c r="W43" s="26">
        <v>79743.0</v>
      </c>
      <c r="X43" s="31">
        <f t="shared" si="22"/>
        <v>3.147955446</v>
      </c>
    </row>
    <row r="44" ht="15.75" customHeight="1">
      <c r="A44" s="25" t="s">
        <v>54</v>
      </c>
      <c r="B44" s="26">
        <v>2146223.0</v>
      </c>
      <c r="C44" s="26">
        <v>147347.0</v>
      </c>
      <c r="D44" s="31">
        <f t="shared" si="12"/>
        <v>6.865409606</v>
      </c>
      <c r="E44" s="26">
        <v>70301.0</v>
      </c>
      <c r="F44" s="31">
        <f t="shared" si="13"/>
        <v>3.275568289</v>
      </c>
      <c r="G44" s="26">
        <v>58308.0</v>
      </c>
      <c r="H44" s="31">
        <f t="shared" si="14"/>
        <v>2.716772675</v>
      </c>
      <c r="I44" s="26">
        <v>123331.0</v>
      </c>
      <c r="J44" s="31">
        <f t="shared" si="15"/>
        <v>5.746420572</v>
      </c>
      <c r="K44" s="26">
        <v>1037670.0</v>
      </c>
      <c r="L44" s="31">
        <f t="shared" si="16"/>
        <v>48.34865715</v>
      </c>
      <c r="M44" s="26">
        <v>893480.0</v>
      </c>
      <c r="N44" s="31">
        <f t="shared" si="17"/>
        <v>41.63034317</v>
      </c>
      <c r="O44" s="26">
        <v>213764.0</v>
      </c>
      <c r="P44" s="31">
        <f t="shared" si="18"/>
        <v>9.960008815</v>
      </c>
      <c r="Q44" s="26">
        <v>925098.0</v>
      </c>
      <c r="R44" s="31">
        <f t="shared" si="19"/>
        <v>43.10353584</v>
      </c>
      <c r="S44" s="26">
        <v>292267.0</v>
      </c>
      <c r="T44" s="31">
        <f t="shared" si="20"/>
        <v>13.61773683</v>
      </c>
      <c r="U44" s="26">
        <v>408468.0</v>
      </c>
      <c r="V44" s="31">
        <f t="shared" si="21"/>
        <v>19.03194589</v>
      </c>
      <c r="W44" s="26">
        <v>169329.0</v>
      </c>
      <c r="X44" s="31">
        <f t="shared" si="22"/>
        <v>7.889627499</v>
      </c>
    </row>
    <row r="45" ht="15.75" customHeight="1">
      <c r="A45" s="25" t="s">
        <v>56</v>
      </c>
      <c r="B45" s="26">
        <v>1293489.0</v>
      </c>
      <c r="C45" s="26">
        <v>114035.0</v>
      </c>
      <c r="D45" s="31">
        <f t="shared" si="12"/>
        <v>8.816078065</v>
      </c>
      <c r="E45" s="26">
        <v>46077.0</v>
      </c>
      <c r="F45" s="31">
        <f t="shared" si="13"/>
        <v>3.562225887</v>
      </c>
      <c r="G45" s="26">
        <v>41074.0</v>
      </c>
      <c r="H45" s="31">
        <f t="shared" si="14"/>
        <v>3.175442543</v>
      </c>
      <c r="I45" s="26">
        <v>115205.0</v>
      </c>
      <c r="J45" s="31">
        <f t="shared" si="15"/>
        <v>8.906531095</v>
      </c>
      <c r="K45" s="26">
        <v>396871.0</v>
      </c>
      <c r="L45" s="31">
        <f t="shared" si="16"/>
        <v>30.68220913</v>
      </c>
      <c r="M45" s="26">
        <v>522258.0</v>
      </c>
      <c r="N45" s="31">
        <f t="shared" si="17"/>
        <v>40.37591352</v>
      </c>
      <c r="O45" s="26">
        <v>155982.0</v>
      </c>
      <c r="P45" s="31">
        <f t="shared" si="18"/>
        <v>12.05901248</v>
      </c>
      <c r="Q45" s="26">
        <v>569291.0</v>
      </c>
      <c r="R45" s="31">
        <f t="shared" si="19"/>
        <v>44.01204803</v>
      </c>
      <c r="S45" s="26">
        <v>261714.0</v>
      </c>
      <c r="T45" s="31">
        <f t="shared" si="20"/>
        <v>20.23318327</v>
      </c>
      <c r="U45" s="26">
        <v>141361.0</v>
      </c>
      <c r="V45" s="31">
        <f t="shared" si="21"/>
        <v>10.92865884</v>
      </c>
      <c r="W45" s="26">
        <v>177593.0</v>
      </c>
      <c r="X45" s="31">
        <f t="shared" si="22"/>
        <v>13.729765</v>
      </c>
    </row>
    <row r="46" ht="15.75" customHeight="1">
      <c r="A46" s="25" t="s">
        <v>57</v>
      </c>
      <c r="B46" s="26">
        <v>1542858.0</v>
      </c>
      <c r="C46" s="26">
        <v>256027.0</v>
      </c>
      <c r="D46" s="31">
        <f t="shared" si="12"/>
        <v>16.59433337</v>
      </c>
      <c r="E46" s="26">
        <v>61410.0</v>
      </c>
      <c r="F46" s="31">
        <f t="shared" si="13"/>
        <v>3.980275567</v>
      </c>
      <c r="G46" s="26">
        <v>31686.0</v>
      </c>
      <c r="H46" s="31">
        <f t="shared" si="14"/>
        <v>2.053721081</v>
      </c>
      <c r="I46" s="26">
        <v>49279.0</v>
      </c>
      <c r="J46" s="31">
        <f t="shared" si="15"/>
        <v>3.194007485</v>
      </c>
      <c r="K46" s="26">
        <v>847209.0</v>
      </c>
      <c r="L46" s="31">
        <f t="shared" si="16"/>
        <v>54.91166394</v>
      </c>
      <c r="M46" s="26">
        <v>618385.0</v>
      </c>
      <c r="N46" s="31">
        <f t="shared" si="17"/>
        <v>40.08048699</v>
      </c>
      <c r="O46" s="26">
        <v>243098.0</v>
      </c>
      <c r="P46" s="31">
        <f t="shared" si="18"/>
        <v>15.7563431</v>
      </c>
      <c r="Q46" s="26">
        <v>351189.0</v>
      </c>
      <c r="R46" s="31">
        <f t="shared" si="19"/>
        <v>22.76223735</v>
      </c>
      <c r="S46" s="26">
        <v>145027.0</v>
      </c>
      <c r="T46" s="31">
        <f t="shared" si="20"/>
        <v>9.399892926</v>
      </c>
      <c r="U46" s="26">
        <v>237620.0</v>
      </c>
      <c r="V46" s="31">
        <f t="shared" si="21"/>
        <v>15.40128774</v>
      </c>
      <c r="W46" s="26">
        <v>70834.0</v>
      </c>
      <c r="X46" s="31">
        <f t="shared" si="22"/>
        <v>4.591090042</v>
      </c>
    </row>
    <row r="47" ht="15.75" customHeight="1">
      <c r="A47" s="25" t="s">
        <v>59</v>
      </c>
      <c r="B47" s="26">
        <v>1612684.0</v>
      </c>
      <c r="C47" s="26">
        <v>150212.0</v>
      </c>
      <c r="D47" s="31">
        <f t="shared" si="12"/>
        <v>9.314410015</v>
      </c>
      <c r="E47" s="26">
        <v>68495.0</v>
      </c>
      <c r="F47" s="31">
        <f t="shared" si="13"/>
        <v>4.247267289</v>
      </c>
      <c r="G47" s="26">
        <v>33861.0</v>
      </c>
      <c r="H47" s="31">
        <f t="shared" si="14"/>
        <v>2.099667387</v>
      </c>
      <c r="I47" s="26">
        <v>71261.0</v>
      </c>
      <c r="J47" s="31">
        <f t="shared" si="15"/>
        <v>4.418782601</v>
      </c>
      <c r="K47" s="26">
        <v>724008.0</v>
      </c>
      <c r="L47" s="31">
        <f t="shared" si="16"/>
        <v>44.89459807</v>
      </c>
      <c r="M47" s="26">
        <v>603506.0</v>
      </c>
      <c r="N47" s="31">
        <f t="shared" si="17"/>
        <v>37.42245846</v>
      </c>
      <c r="O47" s="26">
        <v>188000.0</v>
      </c>
      <c r="P47" s="31">
        <f t="shared" si="18"/>
        <v>11.6575845</v>
      </c>
      <c r="Q47" s="26">
        <v>483470.0</v>
      </c>
      <c r="R47" s="31">
        <f t="shared" si="19"/>
        <v>29.97921477</v>
      </c>
      <c r="S47" s="26">
        <v>113521.0</v>
      </c>
      <c r="T47" s="31">
        <f t="shared" si="20"/>
        <v>7.039258776</v>
      </c>
      <c r="U47" s="26">
        <v>236320.0</v>
      </c>
      <c r="V47" s="31">
        <f t="shared" si="21"/>
        <v>14.65383175</v>
      </c>
      <c r="W47" s="26">
        <v>146930.0</v>
      </c>
      <c r="X47" s="31">
        <f t="shared" si="22"/>
        <v>9.110898353</v>
      </c>
    </row>
    <row r="48" ht="15.75" customHeight="1">
      <c r="A48" s="25" t="s">
        <v>60</v>
      </c>
      <c r="B48" s="26">
        <v>2069934.0</v>
      </c>
      <c r="C48" s="26">
        <v>243226.0</v>
      </c>
      <c r="D48" s="31">
        <f t="shared" si="12"/>
        <v>11.75042296</v>
      </c>
      <c r="E48" s="26">
        <v>47554.0</v>
      </c>
      <c r="F48" s="31">
        <f t="shared" si="13"/>
        <v>2.297367935</v>
      </c>
      <c r="G48" s="26">
        <v>35496.0</v>
      </c>
      <c r="H48" s="31">
        <f t="shared" si="14"/>
        <v>1.714837285</v>
      </c>
      <c r="I48" s="26">
        <v>62431.0</v>
      </c>
      <c r="J48" s="31">
        <f t="shared" si="15"/>
        <v>3.016086503</v>
      </c>
      <c r="K48" s="26">
        <v>996044.0</v>
      </c>
      <c r="L48" s="31">
        <f t="shared" si="16"/>
        <v>48.11960188</v>
      </c>
      <c r="M48" s="26">
        <v>894263.0</v>
      </c>
      <c r="N48" s="31">
        <f t="shared" si="17"/>
        <v>43.20248858</v>
      </c>
      <c r="O48" s="26">
        <v>247625.0</v>
      </c>
      <c r="P48" s="31">
        <f t="shared" si="18"/>
        <v>11.96294181</v>
      </c>
      <c r="Q48" s="26">
        <v>535553.0</v>
      </c>
      <c r="R48" s="31">
        <f t="shared" si="19"/>
        <v>25.87295054</v>
      </c>
      <c r="S48" s="26">
        <v>183267.0</v>
      </c>
      <c r="T48" s="31">
        <f t="shared" si="20"/>
        <v>8.853760555</v>
      </c>
      <c r="U48" s="26">
        <v>309105.0</v>
      </c>
      <c r="V48" s="31">
        <f t="shared" si="21"/>
        <v>14.93308482</v>
      </c>
      <c r="W48" s="26">
        <v>22307.0</v>
      </c>
      <c r="X48" s="31">
        <f t="shared" si="22"/>
        <v>1.077667211</v>
      </c>
    </row>
    <row r="49" ht="15.75" customHeight="1">
      <c r="A49" s="25" t="s">
        <v>63</v>
      </c>
      <c r="B49" s="26">
        <v>1423446.0</v>
      </c>
      <c r="C49" s="26">
        <v>372894.0</v>
      </c>
      <c r="D49" s="31">
        <f t="shared" si="12"/>
        <v>26.19656805</v>
      </c>
      <c r="E49" s="26">
        <v>64637.0</v>
      </c>
      <c r="F49" s="31">
        <f t="shared" si="13"/>
        <v>4.540881776</v>
      </c>
      <c r="G49" s="26">
        <v>25813.0</v>
      </c>
      <c r="H49" s="31">
        <f t="shared" si="14"/>
        <v>1.813416175</v>
      </c>
      <c r="I49" s="26">
        <v>69091.0</v>
      </c>
      <c r="J49" s="31">
        <f t="shared" si="15"/>
        <v>4.853784408</v>
      </c>
      <c r="K49" s="26">
        <v>399889.0</v>
      </c>
      <c r="L49" s="31">
        <f t="shared" si="16"/>
        <v>28.09302214</v>
      </c>
      <c r="M49" s="26">
        <v>324220.0</v>
      </c>
      <c r="N49" s="31">
        <f t="shared" si="17"/>
        <v>22.77711975</v>
      </c>
      <c r="O49" s="26">
        <v>179721.0</v>
      </c>
      <c r="P49" s="31">
        <f t="shared" si="18"/>
        <v>12.62576873</v>
      </c>
      <c r="Q49" s="26">
        <v>503931.0</v>
      </c>
      <c r="R49" s="31">
        <f t="shared" si="19"/>
        <v>35.40218596</v>
      </c>
      <c r="S49" s="26">
        <v>261184.0</v>
      </c>
      <c r="T49" s="31">
        <f t="shared" si="20"/>
        <v>18.34871151</v>
      </c>
      <c r="U49" s="26">
        <v>126367.0</v>
      </c>
      <c r="V49" s="31">
        <f t="shared" si="21"/>
        <v>8.877540841</v>
      </c>
      <c r="W49" s="26">
        <v>87459.0</v>
      </c>
      <c r="X49" s="31">
        <f t="shared" si="22"/>
        <v>6.144174068</v>
      </c>
    </row>
    <row r="50" ht="15.75" customHeight="1">
      <c r="A50" s="25" t="s">
        <v>64</v>
      </c>
      <c r="B50" s="26">
        <v>764882.0</v>
      </c>
      <c r="C50" s="26">
        <v>119933.0</v>
      </c>
      <c r="D50" s="31">
        <f t="shared" si="12"/>
        <v>15.67993494</v>
      </c>
      <c r="E50" s="26">
        <v>6209.0</v>
      </c>
      <c r="F50" s="31">
        <f t="shared" si="13"/>
        <v>0.8117591995</v>
      </c>
      <c r="G50" s="26">
        <v>7811.0</v>
      </c>
      <c r="H50" s="31">
        <f t="shared" si="14"/>
        <v>1.021203271</v>
      </c>
      <c r="I50" s="26">
        <v>42705.0</v>
      </c>
      <c r="J50" s="31">
        <f t="shared" si="15"/>
        <v>5.583214143</v>
      </c>
      <c r="K50" s="26">
        <v>392803.0</v>
      </c>
      <c r="L50" s="31">
        <f t="shared" si="16"/>
        <v>51.35471877</v>
      </c>
      <c r="M50" s="26">
        <v>294403.0</v>
      </c>
      <c r="N50" s="31">
        <f t="shared" si="17"/>
        <v>38.48998931</v>
      </c>
      <c r="O50" s="26">
        <v>157068.0</v>
      </c>
      <c r="P50" s="31">
        <f t="shared" si="18"/>
        <v>20.53493219</v>
      </c>
      <c r="Q50" s="26">
        <v>273850.0</v>
      </c>
      <c r="R50" s="31">
        <f t="shared" si="19"/>
        <v>35.80290816</v>
      </c>
      <c r="S50" s="26">
        <v>106308.0</v>
      </c>
      <c r="T50" s="31">
        <f t="shared" si="20"/>
        <v>13.89861443</v>
      </c>
      <c r="U50" s="26">
        <v>77942.0</v>
      </c>
      <c r="V50" s="31">
        <f t="shared" si="21"/>
        <v>10.19006853</v>
      </c>
      <c r="W50" s="26">
        <v>100916.0</v>
      </c>
      <c r="X50" s="31">
        <f t="shared" si="22"/>
        <v>13.19366909</v>
      </c>
    </row>
    <row r="51" ht="15.75" customHeight="1">
      <c r="A51" s="25" t="s">
        <v>65</v>
      </c>
      <c r="B51" s="26">
        <v>2249632.0</v>
      </c>
      <c r="C51" s="26">
        <v>773452.0</v>
      </c>
      <c r="D51" s="31">
        <f t="shared" si="12"/>
        <v>34.38126769</v>
      </c>
      <c r="E51" s="26">
        <v>253589.0</v>
      </c>
      <c r="F51" s="31">
        <f t="shared" si="13"/>
        <v>11.2724659</v>
      </c>
      <c r="G51" s="26">
        <v>246281.0</v>
      </c>
      <c r="H51" s="31">
        <f t="shared" si="14"/>
        <v>10.94761277</v>
      </c>
      <c r="I51" s="26">
        <v>137777.0</v>
      </c>
      <c r="J51" s="31">
        <f t="shared" si="15"/>
        <v>6.124423906</v>
      </c>
      <c r="K51" s="26">
        <v>731265.0</v>
      </c>
      <c r="L51" s="31">
        <f t="shared" si="16"/>
        <v>32.5059832</v>
      </c>
      <c r="M51" s="26">
        <v>848734.0</v>
      </c>
      <c r="N51" s="31">
        <f t="shared" si="17"/>
        <v>37.72768168</v>
      </c>
      <c r="O51" s="26">
        <v>708411.0</v>
      </c>
      <c r="P51" s="31">
        <f t="shared" si="18"/>
        <v>31.49008371</v>
      </c>
      <c r="Q51" s="26">
        <v>539897.0</v>
      </c>
      <c r="R51" s="31">
        <f t="shared" si="19"/>
        <v>23.99934745</v>
      </c>
      <c r="S51" s="26">
        <v>253606.0</v>
      </c>
      <c r="T51" s="31">
        <f t="shared" si="20"/>
        <v>11.27322158</v>
      </c>
      <c r="U51" s="26">
        <v>384756.0</v>
      </c>
      <c r="V51" s="31">
        <f t="shared" si="21"/>
        <v>17.10306397</v>
      </c>
      <c r="W51" s="26">
        <v>157958.0</v>
      </c>
      <c r="X51" s="31">
        <f t="shared" si="22"/>
        <v>7.021503962</v>
      </c>
    </row>
    <row r="52" ht="15.75" customHeight="1">
      <c r="A52" s="28"/>
      <c r="B52" s="28"/>
      <c r="C52" s="28"/>
      <c r="D52" s="28"/>
      <c r="E52" s="28"/>
      <c r="F52" s="28"/>
      <c r="G52" s="28"/>
      <c r="H52" s="28"/>
      <c r="I52" s="28"/>
      <c r="J52" s="28"/>
      <c r="K52" s="28"/>
      <c r="L52" s="28"/>
      <c r="M52" s="28"/>
      <c r="N52" s="28"/>
      <c r="O52" s="28"/>
      <c r="P52" s="28"/>
      <c r="Q52" s="28"/>
      <c r="R52" s="28"/>
      <c r="S52" s="28"/>
      <c r="T52" s="28"/>
      <c r="U52" s="28"/>
      <c r="V52" s="28"/>
      <c r="W52" s="28"/>
      <c r="X52" s="28"/>
    </row>
    <row r="53" ht="15.75" customHeight="1">
      <c r="A53" s="9"/>
      <c r="B53" s="9"/>
      <c r="C53" s="9"/>
      <c r="D53" s="9"/>
      <c r="E53" s="9"/>
      <c r="F53" s="9"/>
      <c r="G53" s="9"/>
      <c r="H53" s="9"/>
      <c r="I53" s="9"/>
      <c r="J53" s="9"/>
      <c r="K53" s="9"/>
      <c r="L53" s="9"/>
      <c r="M53" s="9"/>
      <c r="N53" s="9"/>
      <c r="O53" s="9"/>
      <c r="P53" s="9"/>
      <c r="Q53" s="9"/>
      <c r="R53" s="9"/>
      <c r="S53" s="9"/>
      <c r="T53" s="9"/>
      <c r="U53" s="9"/>
      <c r="V53" s="9"/>
      <c r="W53" s="9"/>
      <c r="X53" s="9"/>
    </row>
    <row r="54" ht="15.75" customHeight="1">
      <c r="A54" s="29" t="s">
        <v>69</v>
      </c>
      <c r="B54" s="29"/>
      <c r="C54" s="29"/>
      <c r="D54" s="29"/>
      <c r="E54" s="29"/>
      <c r="F54" s="29"/>
      <c r="G54" s="29"/>
      <c r="H54" s="29"/>
      <c r="I54" s="29"/>
      <c r="J54" s="29"/>
      <c r="K54" s="29"/>
      <c r="L54" s="29"/>
      <c r="M54" s="29"/>
      <c r="N54" s="29"/>
      <c r="O54" s="29"/>
      <c r="P54" s="29"/>
      <c r="Q54" s="29"/>
      <c r="R54" s="29"/>
      <c r="S54" s="29"/>
      <c r="T54" s="29"/>
      <c r="U54" s="29"/>
      <c r="V54" s="29"/>
      <c r="W54" s="29"/>
      <c r="X54" s="29"/>
    </row>
    <row r="55" ht="15.75" customHeight="1">
      <c r="A55" s="29" t="s">
        <v>72</v>
      </c>
      <c r="B55" s="29"/>
      <c r="C55" s="29"/>
      <c r="D55" s="29"/>
      <c r="E55" s="29"/>
      <c r="F55" s="29"/>
      <c r="G55" s="29"/>
      <c r="H55" s="29"/>
      <c r="I55" s="29"/>
      <c r="J55" s="29"/>
      <c r="K55" s="29"/>
      <c r="L55" s="29"/>
      <c r="M55" s="29"/>
      <c r="N55" s="29"/>
      <c r="O55" s="29"/>
      <c r="P55" s="29"/>
      <c r="Q55" s="29"/>
      <c r="R55" s="29"/>
      <c r="S55" s="29"/>
      <c r="T55" s="29"/>
      <c r="U55" s="29"/>
      <c r="V55" s="29"/>
      <c r="W55" s="29"/>
      <c r="X55" s="29"/>
    </row>
    <row r="56" ht="15.75" customHeight="1">
      <c r="A56" s="29" t="s">
        <v>336</v>
      </c>
      <c r="B56" s="29"/>
      <c r="C56" s="29"/>
      <c r="D56" s="29"/>
      <c r="E56" s="29"/>
      <c r="F56" s="29"/>
      <c r="G56" s="29"/>
      <c r="H56" s="29"/>
      <c r="I56" s="29"/>
      <c r="J56" s="29"/>
      <c r="K56" s="29"/>
      <c r="L56" s="29"/>
      <c r="M56" s="29"/>
      <c r="N56" s="29"/>
      <c r="O56" s="29"/>
      <c r="P56" s="29"/>
      <c r="Q56" s="29"/>
      <c r="R56" s="29"/>
      <c r="S56" s="29"/>
      <c r="T56" s="29"/>
      <c r="U56" s="29"/>
      <c r="V56" s="29"/>
      <c r="W56" s="29"/>
      <c r="X56" s="29"/>
    </row>
    <row r="57" ht="15.75" customHeight="1">
      <c r="A57" s="32" t="s">
        <v>76</v>
      </c>
    </row>
    <row r="58" ht="15.75" customHeight="1">
      <c r="A58" s="32"/>
    </row>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2">
    <mergeCell ref="A4:A7"/>
    <mergeCell ref="B4:X4"/>
    <mergeCell ref="B5:B7"/>
    <mergeCell ref="C5:X5"/>
    <mergeCell ref="C6:D6"/>
    <mergeCell ref="E6:F6"/>
    <mergeCell ref="G6:H6"/>
    <mergeCell ref="U31:V31"/>
    <mergeCell ref="W31:X31"/>
    <mergeCell ref="A57:Q57"/>
    <mergeCell ref="A58:Q58"/>
    <mergeCell ref="I6:J6"/>
    <mergeCell ref="K6:L6"/>
    <mergeCell ref="A29:A32"/>
    <mergeCell ref="B29:X29"/>
    <mergeCell ref="B30:B32"/>
    <mergeCell ref="C30:X30"/>
    <mergeCell ref="C31:D31"/>
    <mergeCell ref="M6:N6"/>
    <mergeCell ref="O6:P6"/>
    <mergeCell ref="Q6:R6"/>
    <mergeCell ref="S6:T6"/>
    <mergeCell ref="U6:V6"/>
    <mergeCell ref="W6:X6"/>
    <mergeCell ref="E31:F31"/>
    <mergeCell ref="G31:H31"/>
    <mergeCell ref="I31:J31"/>
    <mergeCell ref="K31:L31"/>
    <mergeCell ref="M31:N31"/>
    <mergeCell ref="O31:P31"/>
    <mergeCell ref="Q31:R31"/>
    <mergeCell ref="S31:T31"/>
  </mergeCells>
  <hyperlinks>
    <hyperlink display="BACK TO LIST" location="LIST!A1" ref="A1"/>
  </hyperlinks>
  <printOptions/>
  <pageMargins bottom="0.75" footer="0.0" header="0.0" left="0.7" right="0.7" top="0.75"/>
  <pageSetup paperSize="9" scale="63" orientation="portrait"/>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9"/>
    <pageSetUpPr/>
  </sheetPr>
  <sheetViews>
    <sheetView workbookViewId="0"/>
  </sheetViews>
  <sheetFormatPr customHeight="1" defaultColWidth="12.63" defaultRowHeight="15.0"/>
  <cols>
    <col customWidth="1" min="1" max="1" width="39.0"/>
    <col customWidth="1" min="2" max="7" width="14.0"/>
    <col customWidth="1" min="8" max="12" width="8.63"/>
    <col customWidth="1" min="13" max="13" width="10.63"/>
    <col customWidth="1" min="14" max="14" width="14.25"/>
    <col customWidth="1" min="15" max="26" width="8.63"/>
  </cols>
  <sheetData>
    <row r="1">
      <c r="A1" s="5" t="s">
        <v>1</v>
      </c>
      <c r="B1" s="5"/>
      <c r="C1" s="5"/>
      <c r="D1" s="5"/>
    </row>
    <row r="2">
      <c r="A2" s="6" t="s">
        <v>329</v>
      </c>
      <c r="B2" s="6"/>
      <c r="C2" s="6"/>
      <c r="D2" s="6"/>
      <c r="E2" s="7"/>
      <c r="F2" s="7"/>
      <c r="G2" s="7"/>
    </row>
    <row r="3">
      <c r="A3" s="8"/>
      <c r="B3" s="8"/>
      <c r="C3" s="8"/>
      <c r="D3" s="8"/>
      <c r="E3" s="9"/>
      <c r="F3" s="9"/>
      <c r="G3" s="9"/>
    </row>
    <row r="4">
      <c r="A4" s="10" t="s">
        <v>13</v>
      </c>
      <c r="B4" s="12">
        <v>2019.0</v>
      </c>
      <c r="C4" s="14"/>
      <c r="D4" s="15"/>
      <c r="E4" s="12">
        <v>2024.0</v>
      </c>
      <c r="F4" s="14"/>
      <c r="G4" s="15"/>
    </row>
    <row r="5" ht="15.0" customHeight="1">
      <c r="A5" s="17"/>
      <c r="B5" s="21" t="s">
        <v>26</v>
      </c>
      <c r="C5" s="59" t="s">
        <v>330</v>
      </c>
      <c r="D5" s="37"/>
      <c r="E5" s="21" t="s">
        <v>26</v>
      </c>
      <c r="F5" s="59" t="s">
        <v>330</v>
      </c>
      <c r="G5" s="37"/>
    </row>
    <row r="6" ht="15.0" customHeight="1">
      <c r="A6" s="17"/>
      <c r="B6" s="17"/>
      <c r="C6" s="39"/>
      <c r="D6" s="40"/>
      <c r="E6" s="17"/>
      <c r="F6" s="39"/>
      <c r="G6" s="40"/>
    </row>
    <row r="7">
      <c r="A7" s="18"/>
      <c r="B7" s="18"/>
      <c r="C7" s="24" t="s">
        <v>37</v>
      </c>
      <c r="D7" s="24" t="s">
        <v>39</v>
      </c>
      <c r="E7" s="18"/>
      <c r="F7" s="24" t="s">
        <v>37</v>
      </c>
      <c r="G7" s="24" t="s">
        <v>39</v>
      </c>
    </row>
    <row r="8">
      <c r="A8" s="16"/>
      <c r="B8" s="16"/>
      <c r="C8" s="16"/>
      <c r="D8" s="16"/>
      <c r="E8" s="20"/>
      <c r="F8" s="20"/>
      <c r="G8" s="20"/>
    </row>
    <row r="9">
      <c r="A9" s="22" t="s">
        <v>33</v>
      </c>
      <c r="B9" s="23">
        <f>'Estimated Totals'!B7</f>
        <v>23360960</v>
      </c>
      <c r="C9" s="23">
        <v>1.933008E7</v>
      </c>
      <c r="D9" s="27">
        <f t="shared" ref="D9:D26" si="1">(C9/$B9)*100</f>
        <v>82.74522965</v>
      </c>
      <c r="E9" s="23">
        <v>2.7793884E7</v>
      </c>
      <c r="F9" s="23">
        <v>1.7680057E7</v>
      </c>
      <c r="G9" s="27">
        <f t="shared" ref="G9:G26" si="2">(F9/$E9)*100</f>
        <v>63.61132183</v>
      </c>
      <c r="I9" s="52"/>
      <c r="J9" s="52"/>
      <c r="M9" s="47"/>
      <c r="N9" s="47"/>
    </row>
    <row r="10">
      <c r="A10" s="25" t="s">
        <v>38</v>
      </c>
      <c r="B10" s="26">
        <f>'Estimated Totals'!B8</f>
        <v>3009545</v>
      </c>
      <c r="C10" s="26">
        <v>2829350.0</v>
      </c>
      <c r="D10" s="31">
        <f t="shared" si="1"/>
        <v>94.01255007</v>
      </c>
      <c r="E10" s="26">
        <v>3667731.0</v>
      </c>
      <c r="F10" s="26">
        <v>2833219.0</v>
      </c>
      <c r="G10" s="31">
        <f t="shared" si="2"/>
        <v>77.24718634</v>
      </c>
    </row>
    <row r="11">
      <c r="A11" s="25" t="s">
        <v>41</v>
      </c>
      <c r="B11" s="26">
        <f>'Estimated Totals'!B9</f>
        <v>388188</v>
      </c>
      <c r="C11" s="26">
        <v>315885.0</v>
      </c>
      <c r="D11" s="31">
        <f t="shared" si="1"/>
        <v>81.37423104</v>
      </c>
      <c r="E11" s="26">
        <v>468413.0</v>
      </c>
      <c r="F11" s="26">
        <v>295167.0</v>
      </c>
      <c r="G11" s="31">
        <f t="shared" si="2"/>
        <v>63.01426305</v>
      </c>
    </row>
    <row r="12">
      <c r="A12" s="25" t="s">
        <v>43</v>
      </c>
      <c r="B12" s="26">
        <f>'Estimated Totals'!B10</f>
        <v>1250337</v>
      </c>
      <c r="C12" s="26">
        <v>1090157.0</v>
      </c>
      <c r="D12" s="31">
        <f t="shared" si="1"/>
        <v>87.18905383</v>
      </c>
      <c r="E12" s="26">
        <v>1316881.0</v>
      </c>
      <c r="F12" s="26">
        <v>886863.0</v>
      </c>
      <c r="G12" s="31">
        <f t="shared" si="2"/>
        <v>67.34572068</v>
      </c>
    </row>
    <row r="13">
      <c r="A13" s="25" t="s">
        <v>44</v>
      </c>
      <c r="B13" s="26">
        <f>'Estimated Totals'!B11</f>
        <v>855893</v>
      </c>
      <c r="C13" s="26">
        <v>713038.0</v>
      </c>
      <c r="D13" s="31">
        <f t="shared" si="1"/>
        <v>83.30924543</v>
      </c>
      <c r="E13" s="26">
        <v>934252.0</v>
      </c>
      <c r="F13" s="26">
        <v>586642.0</v>
      </c>
      <c r="G13" s="31">
        <f t="shared" si="2"/>
        <v>62.79269405</v>
      </c>
    </row>
    <row r="14">
      <c r="A14" s="25" t="s">
        <v>46</v>
      </c>
      <c r="B14" s="26">
        <f>'Estimated Totals'!B12</f>
        <v>2823200</v>
      </c>
      <c r="C14" s="26">
        <v>2668170.0</v>
      </c>
      <c r="D14" s="31">
        <f t="shared" si="1"/>
        <v>94.50871352</v>
      </c>
      <c r="E14" s="26">
        <v>3161851.0</v>
      </c>
      <c r="F14" s="26">
        <v>2225993.0</v>
      </c>
      <c r="G14" s="31">
        <f t="shared" si="2"/>
        <v>70.40157806</v>
      </c>
    </row>
    <row r="15">
      <c r="A15" s="25" t="s">
        <v>48</v>
      </c>
      <c r="B15" s="26">
        <f>'Estimated Totals'!B13</f>
        <v>3486186</v>
      </c>
      <c r="C15" s="26">
        <v>3217334.0</v>
      </c>
      <c r="D15" s="31">
        <f t="shared" si="1"/>
        <v>92.28807643</v>
      </c>
      <c r="E15" s="26">
        <v>4369198.0</v>
      </c>
      <c r="F15" s="26">
        <v>3196584.0</v>
      </c>
      <c r="G15" s="31">
        <f t="shared" si="2"/>
        <v>73.16180223</v>
      </c>
    </row>
    <row r="16">
      <c r="A16" s="25" t="s">
        <v>50</v>
      </c>
      <c r="B16" s="26">
        <f>'Estimated Totals'!B14</f>
        <v>686916</v>
      </c>
      <c r="C16" s="26">
        <v>501164.0</v>
      </c>
      <c r="D16" s="31">
        <f t="shared" si="1"/>
        <v>72.9585568</v>
      </c>
      <c r="E16" s="26">
        <v>828498.0</v>
      </c>
      <c r="F16" s="26">
        <v>469527.0</v>
      </c>
      <c r="G16" s="31">
        <f t="shared" si="2"/>
        <v>56.67207404</v>
      </c>
    </row>
    <row r="17">
      <c r="A17" s="25" t="s">
        <v>51</v>
      </c>
      <c r="B17" s="26">
        <f>'Estimated Totals'!B15</f>
        <v>1030986</v>
      </c>
      <c r="C17" s="26">
        <v>774635.0</v>
      </c>
      <c r="D17" s="31">
        <f t="shared" si="1"/>
        <v>75.13535586</v>
      </c>
      <c r="E17" s="26">
        <v>1384033.0</v>
      </c>
      <c r="F17" s="26">
        <v>798540.0</v>
      </c>
      <c r="G17" s="31">
        <f t="shared" si="2"/>
        <v>57.69660116</v>
      </c>
    </row>
    <row r="18">
      <c r="A18" s="25" t="s">
        <v>53</v>
      </c>
      <c r="B18" s="26">
        <f>'Estimated Totals'!B16</f>
        <v>1705556</v>
      </c>
      <c r="C18" s="26">
        <v>1388172.0</v>
      </c>
      <c r="D18" s="31">
        <f t="shared" si="1"/>
        <v>81.39117097</v>
      </c>
      <c r="E18" s="26">
        <v>2040922.0</v>
      </c>
      <c r="F18" s="26">
        <v>1303510.0</v>
      </c>
      <c r="G18" s="31">
        <f t="shared" si="2"/>
        <v>63.86868288</v>
      </c>
    </row>
    <row r="19">
      <c r="A19" s="25" t="s">
        <v>54</v>
      </c>
      <c r="B19" s="26">
        <f>'Estimated Totals'!B17</f>
        <v>1820052</v>
      </c>
      <c r="C19" s="26">
        <v>1326302.0</v>
      </c>
      <c r="D19" s="31">
        <f t="shared" si="1"/>
        <v>72.87165422</v>
      </c>
      <c r="E19" s="26">
        <v>2077216.0</v>
      </c>
      <c r="F19" s="26">
        <v>1195707.0</v>
      </c>
      <c r="G19" s="31">
        <f t="shared" si="2"/>
        <v>57.56295927</v>
      </c>
    </row>
    <row r="20">
      <c r="A20" s="25" t="s">
        <v>56</v>
      </c>
      <c r="B20" s="26">
        <f>'Estimated Totals'!B18</f>
        <v>1042723</v>
      </c>
      <c r="C20" s="26">
        <v>732218.0</v>
      </c>
      <c r="D20" s="31">
        <f t="shared" si="1"/>
        <v>70.22171756</v>
      </c>
      <c r="E20" s="26">
        <v>1200913.0</v>
      </c>
      <c r="F20" s="26">
        <v>677361.0</v>
      </c>
      <c r="G20" s="31">
        <f t="shared" si="2"/>
        <v>56.40383608</v>
      </c>
    </row>
    <row r="21" ht="15.75" customHeight="1">
      <c r="A21" s="25" t="s">
        <v>57</v>
      </c>
      <c r="B21" s="26">
        <f>'Estimated Totals'!B19</f>
        <v>743735</v>
      </c>
      <c r="C21" s="26">
        <v>514945.0</v>
      </c>
      <c r="D21" s="31">
        <f t="shared" si="1"/>
        <v>69.23769891</v>
      </c>
      <c r="E21" s="26">
        <v>903490.0</v>
      </c>
      <c r="F21" s="26">
        <v>466513.0</v>
      </c>
      <c r="G21" s="31">
        <f t="shared" si="2"/>
        <v>51.63455047</v>
      </c>
    </row>
    <row r="22" ht="15.75" customHeight="1">
      <c r="A22" s="25" t="s">
        <v>59</v>
      </c>
      <c r="B22" s="26">
        <f>'Estimated Totals'!B20</f>
        <v>1058458</v>
      </c>
      <c r="C22" s="26">
        <v>799017.0</v>
      </c>
      <c r="D22" s="31">
        <f t="shared" si="1"/>
        <v>75.48877707</v>
      </c>
      <c r="E22" s="26">
        <v>1248516.0</v>
      </c>
      <c r="F22" s="26">
        <v>709884.0</v>
      </c>
      <c r="G22" s="31">
        <f t="shared" si="2"/>
        <v>56.85822208</v>
      </c>
    </row>
    <row r="23" ht="15.75" customHeight="1">
      <c r="A23" s="25" t="s">
        <v>60</v>
      </c>
      <c r="B23" s="26">
        <f>'Estimated Totals'!B21</f>
        <v>1273085</v>
      </c>
      <c r="C23" s="26">
        <v>1019529.0</v>
      </c>
      <c r="D23" s="31">
        <f t="shared" si="1"/>
        <v>80.08334086</v>
      </c>
      <c r="E23" s="26">
        <v>1492292.0</v>
      </c>
      <c r="F23" s="26">
        <v>798922.0</v>
      </c>
      <c r="G23" s="31">
        <f t="shared" si="2"/>
        <v>53.53657327</v>
      </c>
    </row>
    <row r="24" ht="15.75" customHeight="1">
      <c r="A24" s="25" t="s">
        <v>63</v>
      </c>
      <c r="B24" s="26">
        <f>'Estimated Totals'!B22</f>
        <v>1063239</v>
      </c>
      <c r="C24" s="26">
        <v>742182.0</v>
      </c>
      <c r="D24" s="31">
        <f t="shared" si="1"/>
        <v>69.80387288</v>
      </c>
      <c r="E24" s="26">
        <v>1150631.0</v>
      </c>
      <c r="F24" s="26">
        <v>616819.0</v>
      </c>
      <c r="G24" s="31">
        <f t="shared" si="2"/>
        <v>53.60702084</v>
      </c>
    </row>
    <row r="25" ht="15.75" customHeight="1">
      <c r="A25" s="25" t="s">
        <v>64</v>
      </c>
      <c r="B25" s="26">
        <f>'Estimated Totals'!B23</f>
        <v>601512</v>
      </c>
      <c r="C25" s="26">
        <v>450545.0</v>
      </c>
      <c r="D25" s="31">
        <f t="shared" si="1"/>
        <v>74.90208009</v>
      </c>
      <c r="E25" s="26">
        <v>703005.0</v>
      </c>
      <c r="F25" s="26">
        <v>351429.0</v>
      </c>
      <c r="G25" s="31">
        <f t="shared" si="2"/>
        <v>49.98954488</v>
      </c>
    </row>
    <row r="26" ht="15.75" customHeight="1">
      <c r="A26" s="25" t="s">
        <v>65</v>
      </c>
      <c r="B26" s="26">
        <f>'Estimated Totals'!B24</f>
        <v>521349</v>
      </c>
      <c r="C26" s="26">
        <v>247439.0</v>
      </c>
      <c r="D26" s="31">
        <f t="shared" si="1"/>
        <v>47.46129752</v>
      </c>
      <c r="E26" s="26">
        <v>846042.0</v>
      </c>
      <c r="F26" s="26">
        <v>267379.0</v>
      </c>
      <c r="G26" s="31">
        <f t="shared" si="2"/>
        <v>31.60351377</v>
      </c>
    </row>
    <row r="27" ht="15.75" customHeight="1">
      <c r="A27" s="28"/>
      <c r="B27" s="28"/>
      <c r="C27" s="28"/>
      <c r="D27" s="28"/>
      <c r="E27" s="28"/>
      <c r="F27" s="28"/>
      <c r="G27" s="28"/>
    </row>
    <row r="28" ht="15.75" customHeight="1">
      <c r="A28" s="9"/>
      <c r="B28" s="9"/>
      <c r="C28" s="9"/>
      <c r="D28" s="9"/>
      <c r="E28" s="9"/>
      <c r="F28" s="9"/>
      <c r="G28" s="9"/>
    </row>
    <row r="29" ht="15.75" customHeight="1">
      <c r="A29" s="29" t="s">
        <v>69</v>
      </c>
      <c r="B29" s="29"/>
      <c r="C29" s="29"/>
      <c r="D29" s="29"/>
      <c r="E29" s="29"/>
      <c r="F29" s="29"/>
      <c r="G29" s="29"/>
      <c r="H29" s="29"/>
      <c r="I29" s="29"/>
      <c r="J29" s="30"/>
      <c r="K29" s="30"/>
      <c r="L29" s="30"/>
      <c r="M29" s="30"/>
      <c r="N29" s="30"/>
      <c r="O29" s="30"/>
      <c r="P29" s="30"/>
    </row>
    <row r="30" ht="15.75" customHeight="1">
      <c r="A30" s="29" t="s">
        <v>72</v>
      </c>
      <c r="B30" s="29"/>
      <c r="C30" s="29"/>
      <c r="D30" s="29"/>
      <c r="E30" s="29"/>
      <c r="F30" s="29"/>
      <c r="G30" s="29"/>
      <c r="H30" s="29"/>
      <c r="I30" s="29"/>
      <c r="J30" s="30"/>
      <c r="K30" s="30"/>
      <c r="L30" s="30"/>
      <c r="M30" s="30"/>
      <c r="N30" s="30"/>
      <c r="O30" s="30"/>
      <c r="P30" s="30"/>
    </row>
    <row r="31" ht="15.75" customHeight="1">
      <c r="A31" s="29" t="s">
        <v>333</v>
      </c>
      <c r="B31" s="29"/>
      <c r="C31" s="29"/>
      <c r="D31" s="29"/>
      <c r="E31" s="29"/>
      <c r="F31" s="29"/>
      <c r="G31" s="29"/>
      <c r="H31" s="29"/>
      <c r="I31" s="29"/>
      <c r="J31" s="30"/>
      <c r="K31" s="30"/>
      <c r="L31" s="30"/>
      <c r="M31" s="30"/>
      <c r="N31" s="30"/>
      <c r="O31" s="30"/>
      <c r="P31" s="30"/>
    </row>
    <row r="32" ht="15.0" customHeight="1">
      <c r="A32" s="32" t="s">
        <v>76</v>
      </c>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A4:A7"/>
    <mergeCell ref="B4:D4"/>
    <mergeCell ref="E4:G4"/>
    <mergeCell ref="B5:B7"/>
    <mergeCell ref="C5:D6"/>
    <mergeCell ref="E5:E7"/>
    <mergeCell ref="F5:G6"/>
    <mergeCell ref="A32:P32"/>
  </mergeCells>
  <hyperlinks>
    <hyperlink display="BACK TO LIST" location="LIST!A1" ref="A1"/>
  </hyperlinks>
  <printOptions/>
  <pageMargins bottom="0.75" footer="0.0" header="0.0" left="0.7" right="0.7" top="0.75"/>
  <pageSetup orientation="landscape"/>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9"/>
    <pageSetUpPr/>
  </sheetPr>
  <sheetViews>
    <sheetView workbookViewId="0"/>
  </sheetViews>
  <sheetFormatPr customHeight="1" defaultColWidth="12.63" defaultRowHeight="15.0"/>
  <cols>
    <col customWidth="1" min="1" max="1" width="39.0"/>
    <col customWidth="1" min="2" max="21" width="14.0"/>
    <col customWidth="1" min="22" max="26" width="8.63"/>
    <col customWidth="1" min="27" max="27" width="10.63"/>
    <col customWidth="1" min="28" max="28" width="14.25"/>
    <col customWidth="1" min="29" max="30" width="8.63"/>
  </cols>
  <sheetData>
    <row r="1">
      <c r="A1" s="5" t="s">
        <v>1</v>
      </c>
      <c r="B1" s="5"/>
      <c r="C1" s="5"/>
      <c r="D1" s="5"/>
      <c r="E1" s="5"/>
      <c r="F1" s="5"/>
      <c r="G1" s="5"/>
      <c r="H1" s="5"/>
      <c r="I1" s="5"/>
      <c r="J1" s="5"/>
    </row>
    <row r="2">
      <c r="A2" s="6" t="s">
        <v>338</v>
      </c>
      <c r="B2" s="6"/>
      <c r="C2" s="6"/>
      <c r="D2" s="6"/>
      <c r="E2" s="6"/>
      <c r="F2" s="6"/>
      <c r="G2" s="6"/>
      <c r="H2" s="6"/>
      <c r="I2" s="6"/>
      <c r="J2" s="6"/>
      <c r="K2" s="7"/>
      <c r="L2" s="7"/>
      <c r="M2" s="7"/>
      <c r="N2" s="7"/>
      <c r="O2" s="7"/>
      <c r="P2" s="7"/>
      <c r="Q2" s="7"/>
      <c r="R2" s="7"/>
      <c r="S2" s="7"/>
      <c r="T2" s="7"/>
      <c r="U2" s="7"/>
    </row>
    <row r="3">
      <c r="A3" s="8"/>
      <c r="B3" s="8"/>
      <c r="C3" s="8"/>
      <c r="D3" s="8"/>
      <c r="E3" s="8"/>
      <c r="F3" s="8"/>
      <c r="G3" s="8"/>
      <c r="H3" s="8"/>
      <c r="I3" s="8"/>
      <c r="J3" s="8"/>
      <c r="K3" s="9"/>
      <c r="L3" s="9"/>
      <c r="M3" s="9"/>
      <c r="N3" s="9"/>
      <c r="O3" s="9"/>
      <c r="P3" s="9"/>
      <c r="Q3" s="9"/>
      <c r="R3" s="9"/>
      <c r="S3" s="9"/>
      <c r="T3" s="9"/>
      <c r="U3" s="9"/>
    </row>
    <row r="4">
      <c r="A4" s="10" t="s">
        <v>13</v>
      </c>
      <c r="B4" s="12">
        <v>2019.0</v>
      </c>
      <c r="C4" s="14"/>
      <c r="D4" s="14"/>
      <c r="E4" s="14"/>
      <c r="F4" s="14"/>
      <c r="G4" s="14"/>
      <c r="H4" s="14"/>
      <c r="I4" s="14"/>
      <c r="J4" s="15"/>
      <c r="K4" s="12">
        <v>2024.0</v>
      </c>
      <c r="L4" s="14"/>
      <c r="M4" s="14"/>
      <c r="N4" s="14"/>
      <c r="O4" s="14"/>
      <c r="P4" s="14"/>
      <c r="Q4" s="14"/>
      <c r="R4" s="14"/>
      <c r="S4" s="14"/>
      <c r="T4" s="14"/>
      <c r="U4" s="15"/>
    </row>
    <row r="5" ht="15.0" customHeight="1">
      <c r="A5" s="17"/>
      <c r="B5" s="21" t="s">
        <v>339</v>
      </c>
      <c r="C5" s="42" t="s">
        <v>340</v>
      </c>
      <c r="D5" s="14"/>
      <c r="E5" s="14"/>
      <c r="F5" s="14"/>
      <c r="G5" s="14"/>
      <c r="H5" s="14"/>
      <c r="I5" s="14"/>
      <c r="J5" s="15"/>
      <c r="K5" s="21" t="s">
        <v>339</v>
      </c>
      <c r="L5" s="42" t="s">
        <v>340</v>
      </c>
      <c r="M5" s="14"/>
      <c r="N5" s="14"/>
      <c r="O5" s="14"/>
      <c r="P5" s="14"/>
      <c r="Q5" s="14"/>
      <c r="R5" s="14"/>
      <c r="S5" s="14"/>
      <c r="T5" s="14"/>
      <c r="U5" s="15"/>
    </row>
    <row r="6" ht="15.0" customHeight="1">
      <c r="A6" s="17"/>
      <c r="B6" s="17"/>
      <c r="C6" s="46" t="s">
        <v>341</v>
      </c>
      <c r="D6" s="15"/>
      <c r="E6" s="46" t="s">
        <v>342</v>
      </c>
      <c r="F6" s="15"/>
      <c r="G6" s="46" t="s">
        <v>343</v>
      </c>
      <c r="H6" s="15"/>
      <c r="I6" s="46" t="s">
        <v>344</v>
      </c>
      <c r="J6" s="15"/>
      <c r="K6" s="17"/>
      <c r="L6" s="46" t="s">
        <v>341</v>
      </c>
      <c r="M6" s="15"/>
      <c r="N6" s="46" t="s">
        <v>342</v>
      </c>
      <c r="O6" s="15"/>
      <c r="P6" s="46" t="s">
        <v>343</v>
      </c>
      <c r="Q6" s="15"/>
      <c r="R6" s="46" t="s">
        <v>345</v>
      </c>
      <c r="S6" s="15"/>
      <c r="T6" s="46" t="s">
        <v>344</v>
      </c>
      <c r="U6" s="15"/>
    </row>
    <row r="7">
      <c r="A7" s="18"/>
      <c r="B7" s="18"/>
      <c r="C7" s="24" t="s">
        <v>37</v>
      </c>
      <c r="D7" s="24" t="s">
        <v>39</v>
      </c>
      <c r="E7" s="24" t="s">
        <v>37</v>
      </c>
      <c r="F7" s="24" t="s">
        <v>39</v>
      </c>
      <c r="G7" s="24" t="s">
        <v>37</v>
      </c>
      <c r="H7" s="24" t="s">
        <v>39</v>
      </c>
      <c r="I7" s="24" t="s">
        <v>37</v>
      </c>
      <c r="J7" s="24" t="s">
        <v>39</v>
      </c>
      <c r="K7" s="18"/>
      <c r="L7" s="24" t="s">
        <v>37</v>
      </c>
      <c r="M7" s="24" t="s">
        <v>39</v>
      </c>
      <c r="N7" s="24" t="s">
        <v>37</v>
      </c>
      <c r="O7" s="24" t="s">
        <v>39</v>
      </c>
      <c r="P7" s="24" t="s">
        <v>37</v>
      </c>
      <c r="Q7" s="24" t="s">
        <v>39</v>
      </c>
      <c r="R7" s="24" t="s">
        <v>37</v>
      </c>
      <c r="S7" s="24" t="s">
        <v>39</v>
      </c>
      <c r="T7" s="24" t="s">
        <v>37</v>
      </c>
      <c r="U7" s="24" t="s">
        <v>39</v>
      </c>
    </row>
    <row r="8">
      <c r="A8" s="16"/>
      <c r="B8" s="16"/>
      <c r="C8" s="16"/>
      <c r="D8" s="16"/>
      <c r="E8" s="16"/>
      <c r="F8" s="16"/>
      <c r="G8" s="16"/>
      <c r="H8" s="16"/>
      <c r="I8" s="16"/>
      <c r="J8" s="16"/>
      <c r="K8" s="20"/>
      <c r="L8" s="20"/>
      <c r="M8" s="20"/>
      <c r="N8" s="20"/>
      <c r="O8" s="20"/>
      <c r="P8" s="20"/>
      <c r="Q8" s="20"/>
      <c r="R8" s="20"/>
      <c r="S8" s="20"/>
      <c r="T8" s="20"/>
      <c r="U8" s="20"/>
    </row>
    <row r="9">
      <c r="A9" s="22" t="s">
        <v>33</v>
      </c>
      <c r="B9" s="23">
        <f>'C23'!C9</f>
        <v>19330080</v>
      </c>
      <c r="C9" s="23">
        <v>8165747.0</v>
      </c>
      <c r="D9" s="27">
        <f t="shared" ref="D9:D26" si="1">(C9/$B9)*100</f>
        <v>42.24373101</v>
      </c>
      <c r="E9" s="23">
        <v>2764581.0</v>
      </c>
      <c r="F9" s="27">
        <f t="shared" ref="F9:F26" si="2">(E9/$B9)*100</f>
        <v>14.30196357</v>
      </c>
      <c r="G9" s="23">
        <v>3350243.0</v>
      </c>
      <c r="H9" s="27">
        <f t="shared" ref="H9:H26" si="3">(G9/$B9)*100</f>
        <v>17.33175962</v>
      </c>
      <c r="I9" s="23">
        <v>4582983.0</v>
      </c>
      <c r="J9" s="27">
        <f t="shared" ref="J9:J26" si="4">(I9/$B9)*100</f>
        <v>23.70907415</v>
      </c>
      <c r="K9" s="23">
        <v>1.7680057E7</v>
      </c>
      <c r="L9" s="23">
        <v>2856112.0</v>
      </c>
      <c r="M9" s="27">
        <f t="shared" ref="M9:M26" si="5">(L9/$K9)*100</f>
        <v>16.15442756</v>
      </c>
      <c r="N9" s="23">
        <v>3236870.0</v>
      </c>
      <c r="O9" s="27">
        <f t="shared" ref="O9:O26" si="6">(N9/$K9)*100</f>
        <v>18.30802921</v>
      </c>
      <c r="P9" s="23">
        <v>4606554.0</v>
      </c>
      <c r="Q9" s="27">
        <f t="shared" ref="Q9:Q26" si="7">(P9/$K9)*100</f>
        <v>26.05508568</v>
      </c>
      <c r="R9" s="23">
        <v>3950539.0</v>
      </c>
      <c r="S9" s="27">
        <f t="shared" ref="S9:S26" si="8">(R9/$K9)*100</f>
        <v>22.34460556</v>
      </c>
      <c r="T9" s="23">
        <v>4379884.0</v>
      </c>
      <c r="U9" s="27">
        <f t="shared" ref="U9:U26" si="9">(T9/$K9)*100</f>
        <v>24.77301968</v>
      </c>
      <c r="W9" s="52"/>
      <c r="X9" s="52"/>
      <c r="AA9" s="47"/>
      <c r="AB9" s="47"/>
    </row>
    <row r="10">
      <c r="A10" s="25" t="s">
        <v>38</v>
      </c>
      <c r="B10" s="26">
        <f>'C23'!C10</f>
        <v>2829350</v>
      </c>
      <c r="C10" s="26">
        <v>442094.0</v>
      </c>
      <c r="D10" s="31">
        <f t="shared" si="1"/>
        <v>15.62528496</v>
      </c>
      <c r="E10" s="26">
        <v>453197.0</v>
      </c>
      <c r="F10" s="31">
        <f t="shared" si="2"/>
        <v>16.01770725</v>
      </c>
      <c r="G10" s="26">
        <v>62397.0</v>
      </c>
      <c r="H10" s="31">
        <f t="shared" si="3"/>
        <v>2.205347518</v>
      </c>
      <c r="I10" s="26">
        <v>1762207.0</v>
      </c>
      <c r="J10" s="31">
        <f t="shared" si="4"/>
        <v>62.28310389</v>
      </c>
      <c r="K10" s="26">
        <v>2833219.0</v>
      </c>
      <c r="L10" s="26">
        <v>150480.0</v>
      </c>
      <c r="M10" s="31">
        <f t="shared" si="5"/>
        <v>5.311273149</v>
      </c>
      <c r="N10" s="26">
        <v>217149.0</v>
      </c>
      <c r="O10" s="31">
        <f t="shared" si="6"/>
        <v>7.664391634</v>
      </c>
      <c r="P10" s="26">
        <v>216847.0</v>
      </c>
      <c r="Q10" s="31">
        <f t="shared" si="7"/>
        <v>7.65373238</v>
      </c>
      <c r="R10" s="26">
        <v>1116595.0</v>
      </c>
      <c r="S10" s="31">
        <f t="shared" si="8"/>
        <v>39.41082564</v>
      </c>
      <c r="T10" s="26">
        <v>1504397.0</v>
      </c>
      <c r="U10" s="31">
        <f t="shared" si="9"/>
        <v>53.09850739</v>
      </c>
    </row>
    <row r="11">
      <c r="A11" s="25" t="s">
        <v>41</v>
      </c>
      <c r="B11" s="26">
        <f>'C23'!C11</f>
        <v>315885</v>
      </c>
      <c r="C11" s="26">
        <v>103860.0</v>
      </c>
      <c r="D11" s="31">
        <f t="shared" si="1"/>
        <v>32.87905409</v>
      </c>
      <c r="E11" s="26">
        <v>95933.0</v>
      </c>
      <c r="F11" s="31">
        <f t="shared" si="2"/>
        <v>30.36959653</v>
      </c>
      <c r="G11" s="26">
        <v>83489.0</v>
      </c>
      <c r="H11" s="31">
        <f t="shared" si="3"/>
        <v>26.4301882</v>
      </c>
      <c r="I11" s="26">
        <v>35376.0</v>
      </c>
      <c r="J11" s="31">
        <f t="shared" si="4"/>
        <v>11.1990123</v>
      </c>
      <c r="K11" s="26">
        <v>295167.0</v>
      </c>
      <c r="L11" s="26">
        <v>21499.0</v>
      </c>
      <c r="M11" s="31">
        <f t="shared" si="5"/>
        <v>7.28367331</v>
      </c>
      <c r="N11" s="26">
        <v>43888.0</v>
      </c>
      <c r="O11" s="31">
        <f t="shared" si="6"/>
        <v>14.86887084</v>
      </c>
      <c r="P11" s="26">
        <v>164838.0</v>
      </c>
      <c r="Q11" s="31">
        <f t="shared" si="7"/>
        <v>55.8456738</v>
      </c>
      <c r="R11" s="26">
        <v>45284.0</v>
      </c>
      <c r="S11" s="31">
        <f t="shared" si="8"/>
        <v>15.34182344</v>
      </c>
      <c r="T11" s="26">
        <v>36159.0</v>
      </c>
      <c r="U11" s="31">
        <f t="shared" si="9"/>
        <v>12.25035319</v>
      </c>
    </row>
    <row r="12">
      <c r="A12" s="25" t="s">
        <v>43</v>
      </c>
      <c r="B12" s="26">
        <f>'C23'!C12</f>
        <v>1090157</v>
      </c>
      <c r="C12" s="26">
        <v>796488.0</v>
      </c>
      <c r="D12" s="31">
        <f t="shared" si="1"/>
        <v>73.06177</v>
      </c>
      <c r="E12" s="26">
        <v>120854.0</v>
      </c>
      <c r="F12" s="31">
        <f t="shared" si="2"/>
        <v>11.08592616</v>
      </c>
      <c r="G12" s="26">
        <v>88696.0</v>
      </c>
      <c r="H12" s="31">
        <f t="shared" si="3"/>
        <v>8.136075813</v>
      </c>
      <c r="I12" s="26">
        <v>177120.0</v>
      </c>
      <c r="J12" s="31">
        <f t="shared" si="4"/>
        <v>16.24720109</v>
      </c>
      <c r="K12" s="26">
        <v>886863.0</v>
      </c>
      <c r="L12" s="26">
        <v>246885.0</v>
      </c>
      <c r="M12" s="31">
        <f t="shared" si="5"/>
        <v>27.8380088</v>
      </c>
      <c r="N12" s="26">
        <v>268349.0</v>
      </c>
      <c r="O12" s="31">
        <f t="shared" si="6"/>
        <v>30.25822478</v>
      </c>
      <c r="P12" s="26">
        <v>192153.0</v>
      </c>
      <c r="Q12" s="31">
        <f t="shared" si="7"/>
        <v>21.66659337</v>
      </c>
      <c r="R12" s="26">
        <v>128014.0</v>
      </c>
      <c r="S12" s="31">
        <f t="shared" si="8"/>
        <v>14.43447297</v>
      </c>
      <c r="T12" s="26">
        <v>104052.0</v>
      </c>
      <c r="U12" s="31">
        <f t="shared" si="9"/>
        <v>11.73259004</v>
      </c>
    </row>
    <row r="13">
      <c r="A13" s="25" t="s">
        <v>44</v>
      </c>
      <c r="B13" s="26">
        <f>'C23'!C13</f>
        <v>713038</v>
      </c>
      <c r="C13" s="26">
        <v>407394.0</v>
      </c>
      <c r="D13" s="31">
        <f t="shared" si="1"/>
        <v>57.13496335</v>
      </c>
      <c r="E13" s="26">
        <v>82364.0</v>
      </c>
      <c r="F13" s="31">
        <f t="shared" si="2"/>
        <v>11.55113753</v>
      </c>
      <c r="G13" s="26">
        <v>97029.0</v>
      </c>
      <c r="H13" s="31">
        <f t="shared" si="3"/>
        <v>13.60783016</v>
      </c>
      <c r="I13" s="26">
        <v>126972.0</v>
      </c>
      <c r="J13" s="31">
        <f t="shared" si="4"/>
        <v>17.80718559</v>
      </c>
      <c r="K13" s="26">
        <v>586642.0</v>
      </c>
      <c r="L13" s="26">
        <v>46034.0</v>
      </c>
      <c r="M13" s="31">
        <f t="shared" si="5"/>
        <v>7.847034478</v>
      </c>
      <c r="N13" s="26">
        <v>143565.0</v>
      </c>
      <c r="O13" s="31">
        <f t="shared" si="6"/>
        <v>24.47233577</v>
      </c>
      <c r="P13" s="26">
        <v>324380.0</v>
      </c>
      <c r="Q13" s="31">
        <f t="shared" si="7"/>
        <v>55.29437033</v>
      </c>
      <c r="R13" s="26">
        <v>90509.0</v>
      </c>
      <c r="S13" s="31">
        <f t="shared" si="8"/>
        <v>15.42831915</v>
      </c>
      <c r="T13" s="26">
        <v>13488.0</v>
      </c>
      <c r="U13" s="31">
        <f t="shared" si="9"/>
        <v>2.299187579</v>
      </c>
    </row>
    <row r="14">
      <c r="A14" s="25" t="s">
        <v>46</v>
      </c>
      <c r="B14" s="26">
        <f>'C23'!C14</f>
        <v>2668170</v>
      </c>
      <c r="C14" s="26">
        <v>1211856.0</v>
      </c>
      <c r="D14" s="31">
        <f t="shared" si="1"/>
        <v>45.41899504</v>
      </c>
      <c r="E14" s="26">
        <v>333804.0</v>
      </c>
      <c r="F14" s="31">
        <f t="shared" si="2"/>
        <v>12.51059715</v>
      </c>
      <c r="G14" s="26">
        <v>536443.0</v>
      </c>
      <c r="H14" s="31">
        <f t="shared" si="3"/>
        <v>20.10527815</v>
      </c>
      <c r="I14" s="26">
        <v>653590.0</v>
      </c>
      <c r="J14" s="31">
        <f t="shared" si="4"/>
        <v>24.49581548</v>
      </c>
      <c r="K14" s="26">
        <v>2225993.0</v>
      </c>
      <c r="L14" s="26">
        <v>409932.0</v>
      </c>
      <c r="M14" s="31">
        <f t="shared" si="5"/>
        <v>18.41569133</v>
      </c>
      <c r="N14" s="26">
        <v>369341.0</v>
      </c>
      <c r="O14" s="31">
        <f t="shared" si="6"/>
        <v>16.59219054</v>
      </c>
      <c r="P14" s="26">
        <v>356341.0</v>
      </c>
      <c r="Q14" s="31">
        <f t="shared" si="7"/>
        <v>16.00818152</v>
      </c>
      <c r="R14" s="26">
        <v>335238.0</v>
      </c>
      <c r="S14" s="31">
        <f t="shared" si="8"/>
        <v>15.06015518</v>
      </c>
      <c r="T14" s="26">
        <v>944997.0</v>
      </c>
      <c r="U14" s="31">
        <f t="shared" si="9"/>
        <v>42.45282892</v>
      </c>
    </row>
    <row r="15">
      <c r="A15" s="25" t="s">
        <v>48</v>
      </c>
      <c r="B15" s="26">
        <f>'C23'!C15</f>
        <v>3217334</v>
      </c>
      <c r="C15" s="26">
        <v>1004015.0</v>
      </c>
      <c r="D15" s="31">
        <f t="shared" si="1"/>
        <v>31.20642743</v>
      </c>
      <c r="E15" s="26">
        <v>385171.0</v>
      </c>
      <c r="F15" s="31">
        <f t="shared" si="2"/>
        <v>11.97174431</v>
      </c>
      <c r="G15" s="26">
        <v>203904.0</v>
      </c>
      <c r="H15" s="31">
        <f t="shared" si="3"/>
        <v>6.337669636</v>
      </c>
      <c r="I15" s="26">
        <v>1428386.0</v>
      </c>
      <c r="J15" s="31">
        <f t="shared" si="4"/>
        <v>44.39657182</v>
      </c>
      <c r="K15" s="26">
        <v>3196584.0</v>
      </c>
      <c r="L15" s="26">
        <v>450718.0</v>
      </c>
      <c r="M15" s="31">
        <f t="shared" si="5"/>
        <v>14.09998924</v>
      </c>
      <c r="N15" s="26">
        <v>477655.0</v>
      </c>
      <c r="O15" s="31">
        <f t="shared" si="6"/>
        <v>14.94267005</v>
      </c>
      <c r="P15" s="26">
        <v>506329.0</v>
      </c>
      <c r="Q15" s="31">
        <f t="shared" si="7"/>
        <v>15.83969012</v>
      </c>
      <c r="R15" s="26">
        <v>853597.0</v>
      </c>
      <c r="S15" s="31">
        <f t="shared" si="8"/>
        <v>26.70341214</v>
      </c>
      <c r="T15" s="26">
        <v>1131533.0</v>
      </c>
      <c r="U15" s="31">
        <f t="shared" si="9"/>
        <v>35.39819382</v>
      </c>
    </row>
    <row r="16">
      <c r="A16" s="25" t="s">
        <v>50</v>
      </c>
      <c r="B16" s="26">
        <f>'C23'!C16</f>
        <v>501164</v>
      </c>
      <c r="C16" s="26">
        <v>143878.0</v>
      </c>
      <c r="D16" s="31">
        <f t="shared" si="1"/>
        <v>28.70876599</v>
      </c>
      <c r="E16" s="26">
        <v>89464.0</v>
      </c>
      <c r="F16" s="31">
        <f t="shared" si="2"/>
        <v>17.85124231</v>
      </c>
      <c r="G16" s="26">
        <v>261287.0</v>
      </c>
      <c r="H16" s="31">
        <f t="shared" si="3"/>
        <v>52.13602733</v>
      </c>
      <c r="I16" s="26">
        <v>1626.0</v>
      </c>
      <c r="J16" s="31">
        <f t="shared" si="4"/>
        <v>0.3244446928</v>
      </c>
      <c r="K16" s="26">
        <v>469527.0</v>
      </c>
      <c r="L16" s="26">
        <v>32892.0</v>
      </c>
      <c r="M16" s="31">
        <f t="shared" si="5"/>
        <v>7.005347935</v>
      </c>
      <c r="N16" s="26">
        <v>92170.0</v>
      </c>
      <c r="O16" s="31">
        <f t="shared" si="6"/>
        <v>19.63039399</v>
      </c>
      <c r="P16" s="26">
        <v>306486.0</v>
      </c>
      <c r="Q16" s="31">
        <f t="shared" si="7"/>
        <v>65.27547937</v>
      </c>
      <c r="R16" s="26">
        <v>51985.0</v>
      </c>
      <c r="S16" s="31">
        <f t="shared" si="8"/>
        <v>11.07178075</v>
      </c>
      <c r="T16" s="26">
        <v>9259.0</v>
      </c>
      <c r="U16" s="31">
        <f t="shared" si="9"/>
        <v>1.971984572</v>
      </c>
    </row>
    <row r="17">
      <c r="A17" s="25" t="s">
        <v>51</v>
      </c>
      <c r="B17" s="26">
        <f>'C23'!C17</f>
        <v>774635</v>
      </c>
      <c r="C17" s="26">
        <v>442454.0</v>
      </c>
      <c r="D17" s="31">
        <f t="shared" si="1"/>
        <v>57.11773932</v>
      </c>
      <c r="E17" s="26">
        <v>113561.0</v>
      </c>
      <c r="F17" s="31">
        <f t="shared" si="2"/>
        <v>14.65993662</v>
      </c>
      <c r="G17" s="26">
        <v>170298.0</v>
      </c>
      <c r="H17" s="31">
        <f t="shared" si="3"/>
        <v>21.98428937</v>
      </c>
      <c r="I17" s="26">
        <v>33874.0</v>
      </c>
      <c r="J17" s="31">
        <f t="shared" si="4"/>
        <v>4.372898204</v>
      </c>
      <c r="K17" s="26">
        <v>798540.0</v>
      </c>
      <c r="L17" s="26">
        <v>118672.0</v>
      </c>
      <c r="M17" s="31">
        <f t="shared" si="5"/>
        <v>14.86112155</v>
      </c>
      <c r="N17" s="26">
        <v>149881.0</v>
      </c>
      <c r="O17" s="31">
        <f t="shared" si="6"/>
        <v>18.76937912</v>
      </c>
      <c r="P17" s="26">
        <v>421832.0</v>
      </c>
      <c r="Q17" s="31">
        <f t="shared" si="7"/>
        <v>52.82540637</v>
      </c>
      <c r="R17" s="26">
        <v>125890.0</v>
      </c>
      <c r="S17" s="31">
        <f t="shared" si="8"/>
        <v>15.76502116</v>
      </c>
      <c r="T17" s="26">
        <v>34044.0</v>
      </c>
      <c r="U17" s="31">
        <f t="shared" si="9"/>
        <v>4.263280487</v>
      </c>
    </row>
    <row r="18">
      <c r="A18" s="25" t="s">
        <v>53</v>
      </c>
      <c r="B18" s="26">
        <f>'C23'!C18</f>
        <v>1388172</v>
      </c>
      <c r="C18" s="26">
        <v>833444.0</v>
      </c>
      <c r="D18" s="31">
        <f t="shared" si="1"/>
        <v>60.03895771</v>
      </c>
      <c r="E18" s="26">
        <v>120250.0</v>
      </c>
      <c r="F18" s="31">
        <f t="shared" si="2"/>
        <v>8.662471221</v>
      </c>
      <c r="G18" s="26">
        <v>153272.0</v>
      </c>
      <c r="H18" s="31">
        <f t="shared" si="3"/>
        <v>11.04128307</v>
      </c>
      <c r="I18" s="26">
        <v>61203.0</v>
      </c>
      <c r="J18" s="31">
        <f t="shared" si="4"/>
        <v>4.408891694</v>
      </c>
      <c r="K18" s="26">
        <v>1303510.0</v>
      </c>
      <c r="L18" s="26">
        <v>320640.0</v>
      </c>
      <c r="M18" s="31">
        <f t="shared" si="5"/>
        <v>24.59820024</v>
      </c>
      <c r="N18" s="26">
        <v>429254.0</v>
      </c>
      <c r="O18" s="31">
        <f t="shared" si="6"/>
        <v>32.93062577</v>
      </c>
      <c r="P18" s="26">
        <v>223382.0</v>
      </c>
      <c r="Q18" s="31">
        <f t="shared" si="7"/>
        <v>17.13696097</v>
      </c>
      <c r="R18" s="26">
        <v>241899.0</v>
      </c>
      <c r="S18" s="31">
        <f t="shared" si="8"/>
        <v>18.55751011</v>
      </c>
      <c r="T18" s="26">
        <v>155392.0</v>
      </c>
      <c r="U18" s="31">
        <f t="shared" si="9"/>
        <v>11.92104395</v>
      </c>
    </row>
    <row r="19">
      <c r="A19" s="25" t="s">
        <v>54</v>
      </c>
      <c r="B19" s="26">
        <f>'C23'!C19</f>
        <v>1326302</v>
      </c>
      <c r="C19" s="26">
        <v>891488.0</v>
      </c>
      <c r="D19" s="31">
        <f t="shared" si="1"/>
        <v>67.21606391</v>
      </c>
      <c r="E19" s="26">
        <v>117884.0</v>
      </c>
      <c r="F19" s="31">
        <f t="shared" si="2"/>
        <v>8.888171774</v>
      </c>
      <c r="G19" s="26">
        <v>137094.0</v>
      </c>
      <c r="H19" s="31">
        <f t="shared" si="3"/>
        <v>10.33655985</v>
      </c>
      <c r="I19" s="26">
        <v>141897.0</v>
      </c>
      <c r="J19" s="31">
        <f t="shared" si="4"/>
        <v>10.69869457</v>
      </c>
      <c r="K19" s="26">
        <v>1195707.0</v>
      </c>
      <c r="L19" s="26">
        <v>342739.0</v>
      </c>
      <c r="M19" s="31">
        <f t="shared" si="5"/>
        <v>28.66412926</v>
      </c>
      <c r="N19" s="26">
        <v>193461.0</v>
      </c>
      <c r="O19" s="31">
        <f t="shared" si="6"/>
        <v>16.17963264</v>
      </c>
      <c r="P19" s="26">
        <v>273286.0</v>
      </c>
      <c r="Q19" s="31">
        <f t="shared" si="7"/>
        <v>22.85559924</v>
      </c>
      <c r="R19" s="26">
        <v>346050.0</v>
      </c>
      <c r="S19" s="31">
        <f t="shared" si="8"/>
        <v>28.94103656</v>
      </c>
      <c r="T19" s="26">
        <v>129310.0</v>
      </c>
      <c r="U19" s="31">
        <f t="shared" si="9"/>
        <v>10.81452229</v>
      </c>
    </row>
    <row r="20">
      <c r="A20" s="25" t="s">
        <v>56</v>
      </c>
      <c r="B20" s="26">
        <f>'C23'!C20</f>
        <v>732218</v>
      </c>
      <c r="C20" s="26">
        <v>212787.0</v>
      </c>
      <c r="D20" s="31">
        <f t="shared" si="1"/>
        <v>29.06060763</v>
      </c>
      <c r="E20" s="26">
        <v>97095.0</v>
      </c>
      <c r="F20" s="31">
        <f t="shared" si="2"/>
        <v>13.26039513</v>
      </c>
      <c r="G20" s="26">
        <v>369598.0</v>
      </c>
      <c r="H20" s="31">
        <f t="shared" si="3"/>
        <v>50.47649744</v>
      </c>
      <c r="I20" s="26">
        <v>36342.0</v>
      </c>
      <c r="J20" s="31">
        <f t="shared" si="4"/>
        <v>4.963275964</v>
      </c>
      <c r="K20" s="26">
        <v>677361.0</v>
      </c>
      <c r="L20" s="26">
        <v>97968.0</v>
      </c>
      <c r="M20" s="31">
        <f t="shared" si="5"/>
        <v>14.46318876</v>
      </c>
      <c r="N20" s="26">
        <v>143084.0</v>
      </c>
      <c r="O20" s="31">
        <f t="shared" si="6"/>
        <v>21.12374347</v>
      </c>
      <c r="P20" s="26">
        <v>309263.0</v>
      </c>
      <c r="Q20" s="31">
        <f t="shared" si="7"/>
        <v>45.65704255</v>
      </c>
      <c r="R20" s="26">
        <v>105656.0</v>
      </c>
      <c r="S20" s="31">
        <f t="shared" si="8"/>
        <v>15.59818177</v>
      </c>
      <c r="T20" s="26">
        <v>56563.0</v>
      </c>
      <c r="U20" s="31">
        <f t="shared" si="9"/>
        <v>8.350495526</v>
      </c>
    </row>
    <row r="21" ht="15.75" customHeight="1">
      <c r="A21" s="25" t="s">
        <v>57</v>
      </c>
      <c r="B21" s="26">
        <f>'C23'!C21</f>
        <v>514945</v>
      </c>
      <c r="C21" s="26">
        <v>166628.0</v>
      </c>
      <c r="D21" s="31">
        <f t="shared" si="1"/>
        <v>32.35840721</v>
      </c>
      <c r="E21" s="26">
        <v>113351.0</v>
      </c>
      <c r="F21" s="31">
        <f t="shared" si="2"/>
        <v>22.01225374</v>
      </c>
      <c r="G21" s="26">
        <v>230089.0</v>
      </c>
      <c r="H21" s="31">
        <f t="shared" si="3"/>
        <v>44.68224762</v>
      </c>
      <c r="I21" s="26">
        <v>4099.0</v>
      </c>
      <c r="J21" s="31">
        <f t="shared" si="4"/>
        <v>0.7960073406</v>
      </c>
      <c r="K21" s="26">
        <v>466513.0</v>
      </c>
      <c r="L21" s="26">
        <v>108640.0</v>
      </c>
      <c r="M21" s="31">
        <f t="shared" si="5"/>
        <v>23.2876683</v>
      </c>
      <c r="N21" s="26">
        <v>154813.0</v>
      </c>
      <c r="O21" s="31">
        <f t="shared" si="6"/>
        <v>33.18514168</v>
      </c>
      <c r="P21" s="26">
        <v>186490.0</v>
      </c>
      <c r="Q21" s="31">
        <f t="shared" si="7"/>
        <v>39.97530615</v>
      </c>
      <c r="R21" s="26">
        <v>32205.0</v>
      </c>
      <c r="S21" s="31">
        <f t="shared" si="8"/>
        <v>6.903344601</v>
      </c>
      <c r="T21" s="26">
        <v>10012.0</v>
      </c>
      <c r="U21" s="31">
        <f t="shared" si="9"/>
        <v>2.146135263</v>
      </c>
    </row>
    <row r="22" ht="15.75" customHeight="1">
      <c r="A22" s="25" t="s">
        <v>59</v>
      </c>
      <c r="B22" s="26">
        <f>'C23'!C22</f>
        <v>799017</v>
      </c>
      <c r="C22" s="26">
        <v>454437.0</v>
      </c>
      <c r="D22" s="31">
        <f t="shared" si="1"/>
        <v>56.87450955</v>
      </c>
      <c r="E22" s="26">
        <v>131894.0</v>
      </c>
      <c r="F22" s="31">
        <f t="shared" si="2"/>
        <v>16.50703302</v>
      </c>
      <c r="G22" s="26">
        <v>157158.0</v>
      </c>
      <c r="H22" s="31">
        <f t="shared" si="3"/>
        <v>19.66891818</v>
      </c>
      <c r="I22" s="26">
        <v>41581.0</v>
      </c>
      <c r="J22" s="31">
        <f t="shared" si="4"/>
        <v>5.204019439</v>
      </c>
      <c r="K22" s="26">
        <v>709884.0</v>
      </c>
      <c r="L22" s="26">
        <v>206690.0</v>
      </c>
      <c r="M22" s="31">
        <f t="shared" si="5"/>
        <v>29.11602459</v>
      </c>
      <c r="N22" s="26">
        <v>178007.0</v>
      </c>
      <c r="O22" s="31">
        <f t="shared" si="6"/>
        <v>25.07550529</v>
      </c>
      <c r="P22" s="26">
        <v>187195.0</v>
      </c>
      <c r="Q22" s="31">
        <f t="shared" si="7"/>
        <v>26.36980126</v>
      </c>
      <c r="R22" s="26">
        <v>169031.0</v>
      </c>
      <c r="S22" s="31">
        <f t="shared" si="8"/>
        <v>23.81107336</v>
      </c>
      <c r="T22" s="26">
        <v>37428.0</v>
      </c>
      <c r="U22" s="31">
        <f t="shared" si="9"/>
        <v>5.272410704</v>
      </c>
    </row>
    <row r="23" ht="15.75" customHeight="1">
      <c r="A23" s="25" t="s">
        <v>60</v>
      </c>
      <c r="B23" s="26">
        <f>'C23'!C23</f>
        <v>1019529</v>
      </c>
      <c r="C23" s="26">
        <v>364397.0</v>
      </c>
      <c r="D23" s="31">
        <f t="shared" si="1"/>
        <v>35.74170033</v>
      </c>
      <c r="E23" s="26">
        <v>174839.0</v>
      </c>
      <c r="F23" s="31">
        <f t="shared" si="2"/>
        <v>17.14899723</v>
      </c>
      <c r="G23" s="26">
        <v>423059.0</v>
      </c>
      <c r="H23" s="31">
        <f t="shared" si="3"/>
        <v>41.49553372</v>
      </c>
      <c r="I23" s="26">
        <v>51536.0</v>
      </c>
      <c r="J23" s="31">
        <f t="shared" si="4"/>
        <v>5.054883186</v>
      </c>
      <c r="K23" s="26">
        <v>798922.0</v>
      </c>
      <c r="L23" s="26">
        <v>99003.0</v>
      </c>
      <c r="M23" s="31">
        <f t="shared" si="5"/>
        <v>12.39207332</v>
      </c>
      <c r="N23" s="26">
        <v>130796.0</v>
      </c>
      <c r="O23" s="31">
        <f t="shared" si="6"/>
        <v>16.37156068</v>
      </c>
      <c r="P23" s="26">
        <v>344051.0</v>
      </c>
      <c r="Q23" s="31">
        <f t="shared" si="7"/>
        <v>43.06440428</v>
      </c>
      <c r="R23" s="26">
        <v>92130.0</v>
      </c>
      <c r="S23" s="31">
        <f t="shared" si="8"/>
        <v>11.53178909</v>
      </c>
      <c r="T23" s="26">
        <v>173123.0</v>
      </c>
      <c r="U23" s="31">
        <f t="shared" si="9"/>
        <v>21.66957475</v>
      </c>
    </row>
    <row r="24" ht="15.75" customHeight="1">
      <c r="A24" s="25" t="s">
        <v>63</v>
      </c>
      <c r="B24" s="26">
        <f>'C23'!C24</f>
        <v>742182</v>
      </c>
      <c r="C24" s="26">
        <v>379144.0</v>
      </c>
      <c r="D24" s="31">
        <f t="shared" si="1"/>
        <v>51.08504383</v>
      </c>
      <c r="E24" s="26">
        <v>175630.0</v>
      </c>
      <c r="F24" s="31">
        <f t="shared" si="2"/>
        <v>23.66400694</v>
      </c>
      <c r="G24" s="26">
        <v>60166.0</v>
      </c>
      <c r="H24" s="31">
        <f t="shared" si="3"/>
        <v>8.106636917</v>
      </c>
      <c r="I24" s="26">
        <v>19898.0</v>
      </c>
      <c r="J24" s="31">
        <f t="shared" si="4"/>
        <v>2.681013552</v>
      </c>
      <c r="K24" s="26">
        <v>616819.0</v>
      </c>
      <c r="L24" s="26">
        <v>143539.0</v>
      </c>
      <c r="M24" s="31">
        <f t="shared" si="5"/>
        <v>23.27084607</v>
      </c>
      <c r="N24" s="26">
        <v>63769.0</v>
      </c>
      <c r="O24" s="31">
        <f t="shared" si="6"/>
        <v>10.33836506</v>
      </c>
      <c r="P24" s="26">
        <v>293018.0</v>
      </c>
      <c r="Q24" s="31">
        <f t="shared" si="7"/>
        <v>47.50469749</v>
      </c>
      <c r="R24" s="26">
        <v>139416.0</v>
      </c>
      <c r="S24" s="31">
        <f t="shared" si="8"/>
        <v>22.60241659</v>
      </c>
      <c r="T24" s="26">
        <v>9968.0</v>
      </c>
      <c r="U24" s="31">
        <f t="shared" si="9"/>
        <v>1.616033229</v>
      </c>
    </row>
    <row r="25" ht="15.75" customHeight="1">
      <c r="A25" s="25" t="s">
        <v>64</v>
      </c>
      <c r="B25" s="26">
        <f>'C23'!C25</f>
        <v>450545</v>
      </c>
      <c r="C25" s="26">
        <v>179562.0</v>
      </c>
      <c r="D25" s="31">
        <f t="shared" si="1"/>
        <v>39.85439856</v>
      </c>
      <c r="E25" s="26">
        <v>116202.0</v>
      </c>
      <c r="F25" s="31">
        <f t="shared" si="2"/>
        <v>25.79143038</v>
      </c>
      <c r="G25" s="26">
        <v>149913.0</v>
      </c>
      <c r="H25" s="31">
        <f t="shared" si="3"/>
        <v>33.27370185</v>
      </c>
      <c r="I25" s="26">
        <v>2428.0</v>
      </c>
      <c r="J25" s="31">
        <f t="shared" si="4"/>
        <v>0.5389028843</v>
      </c>
      <c r="K25" s="26">
        <v>351429.0</v>
      </c>
      <c r="L25" s="26">
        <v>41803.0</v>
      </c>
      <c r="M25" s="31">
        <f t="shared" si="5"/>
        <v>11.8951481</v>
      </c>
      <c r="N25" s="26">
        <v>110331.0</v>
      </c>
      <c r="O25" s="31">
        <f t="shared" si="6"/>
        <v>31.39496171</v>
      </c>
      <c r="P25" s="26">
        <v>152078.0</v>
      </c>
      <c r="Q25" s="31">
        <f t="shared" si="7"/>
        <v>43.27417487</v>
      </c>
      <c r="R25" s="26">
        <v>60029.0</v>
      </c>
      <c r="S25" s="31">
        <f t="shared" si="8"/>
        <v>17.08140193</v>
      </c>
      <c r="T25" s="26">
        <v>11550.0</v>
      </c>
      <c r="U25" s="31">
        <f t="shared" si="9"/>
        <v>3.286581358</v>
      </c>
    </row>
    <row r="26" ht="15.75" customHeight="1">
      <c r="A26" s="25" t="s">
        <v>65</v>
      </c>
      <c r="B26" s="26">
        <f>'C23'!C26</f>
        <v>247439</v>
      </c>
      <c r="C26" s="26">
        <v>131822.0</v>
      </c>
      <c r="D26" s="31">
        <f t="shared" si="1"/>
        <v>53.27454443</v>
      </c>
      <c r="E26" s="26">
        <v>43085.0</v>
      </c>
      <c r="F26" s="31">
        <f t="shared" si="2"/>
        <v>17.41237234</v>
      </c>
      <c r="G26" s="26">
        <v>66352.0</v>
      </c>
      <c r="H26" s="31">
        <f t="shared" si="3"/>
        <v>26.81549796</v>
      </c>
      <c r="I26" s="26">
        <v>4847.0</v>
      </c>
      <c r="J26" s="31">
        <f t="shared" si="4"/>
        <v>1.95886663</v>
      </c>
      <c r="K26" s="26">
        <v>267379.0</v>
      </c>
      <c r="L26" s="26">
        <v>17977.0</v>
      </c>
      <c r="M26" s="31">
        <f t="shared" si="5"/>
        <v>6.723415077</v>
      </c>
      <c r="N26" s="26">
        <v>71356.0</v>
      </c>
      <c r="O26" s="31">
        <f t="shared" si="6"/>
        <v>26.68721179</v>
      </c>
      <c r="P26" s="26">
        <v>148587.0</v>
      </c>
      <c r="Q26" s="31">
        <f t="shared" si="7"/>
        <v>55.57167915</v>
      </c>
      <c r="R26" s="26">
        <v>17010.0</v>
      </c>
      <c r="S26" s="31">
        <f t="shared" si="8"/>
        <v>6.361756159</v>
      </c>
      <c r="T26" s="26">
        <v>18610.0</v>
      </c>
      <c r="U26" s="31">
        <f t="shared" si="9"/>
        <v>6.960157679</v>
      </c>
    </row>
    <row r="27" ht="15.75" customHeight="1">
      <c r="A27" s="28"/>
      <c r="B27" s="28"/>
      <c r="C27" s="28"/>
      <c r="D27" s="28"/>
      <c r="E27" s="28"/>
      <c r="F27" s="28"/>
      <c r="G27" s="28"/>
      <c r="H27" s="28"/>
      <c r="I27" s="28"/>
      <c r="J27" s="28"/>
      <c r="K27" s="28"/>
      <c r="L27" s="28"/>
      <c r="M27" s="28"/>
      <c r="N27" s="28"/>
      <c r="O27" s="28"/>
      <c r="P27" s="28"/>
      <c r="Q27" s="28"/>
      <c r="R27" s="28"/>
      <c r="S27" s="28"/>
      <c r="T27" s="28"/>
      <c r="U27" s="28"/>
    </row>
    <row r="28" ht="15.75" customHeight="1">
      <c r="A28" s="9"/>
      <c r="B28" s="9"/>
      <c r="C28" s="9"/>
      <c r="D28" s="9"/>
      <c r="E28" s="9"/>
      <c r="F28" s="9"/>
      <c r="G28" s="9"/>
      <c r="H28" s="9"/>
      <c r="I28" s="9"/>
      <c r="J28" s="9"/>
      <c r="K28" s="9"/>
      <c r="L28" s="9"/>
      <c r="M28" s="9"/>
      <c r="N28" s="9"/>
      <c r="O28" s="9"/>
      <c r="P28" s="9"/>
      <c r="Q28" s="9"/>
      <c r="R28" s="9"/>
      <c r="S28" s="9"/>
      <c r="T28" s="9"/>
      <c r="U28" s="9"/>
    </row>
    <row r="29" ht="15.75" customHeight="1">
      <c r="A29" s="29" t="s">
        <v>69</v>
      </c>
      <c r="B29" s="29"/>
      <c r="C29" s="29"/>
      <c r="D29" s="29"/>
      <c r="E29" s="29"/>
      <c r="F29" s="29"/>
      <c r="G29" s="29"/>
      <c r="H29" s="29"/>
      <c r="I29" s="29"/>
      <c r="J29" s="29"/>
      <c r="K29" s="29"/>
      <c r="L29" s="29"/>
      <c r="M29" s="29"/>
      <c r="N29" s="29"/>
      <c r="O29" s="29"/>
      <c r="P29" s="29"/>
      <c r="Q29" s="29"/>
      <c r="R29" s="29"/>
      <c r="S29" s="29"/>
      <c r="T29" s="29"/>
      <c r="U29" s="29"/>
      <c r="V29" s="29"/>
      <c r="W29" s="29"/>
      <c r="X29" s="30"/>
      <c r="Y29" s="30"/>
      <c r="Z29" s="30"/>
      <c r="AA29" s="30"/>
      <c r="AB29" s="30"/>
      <c r="AC29" s="30"/>
      <c r="AD29" s="30"/>
    </row>
    <row r="30" ht="15.75" customHeight="1">
      <c r="A30" s="29" t="s">
        <v>72</v>
      </c>
      <c r="B30" s="29"/>
      <c r="C30" s="29"/>
      <c r="D30" s="29"/>
      <c r="E30" s="29"/>
      <c r="F30" s="29"/>
      <c r="G30" s="29"/>
      <c r="H30" s="29"/>
      <c r="I30" s="29"/>
      <c r="J30" s="29"/>
      <c r="K30" s="29"/>
      <c r="L30" s="29"/>
      <c r="M30" s="29"/>
      <c r="N30" s="29"/>
      <c r="O30" s="29"/>
      <c r="P30" s="29"/>
      <c r="Q30" s="29"/>
      <c r="R30" s="29"/>
      <c r="S30" s="29"/>
      <c r="T30" s="29"/>
      <c r="U30" s="29"/>
      <c r="V30" s="29"/>
      <c r="W30" s="29"/>
      <c r="X30" s="30"/>
      <c r="Y30" s="30"/>
      <c r="Z30" s="30"/>
      <c r="AA30" s="30"/>
      <c r="AB30" s="30"/>
      <c r="AC30" s="30"/>
      <c r="AD30" s="30"/>
    </row>
    <row r="31" ht="15.75" customHeight="1">
      <c r="A31" s="29" t="s">
        <v>353</v>
      </c>
      <c r="B31" s="29"/>
      <c r="C31" s="29"/>
      <c r="D31" s="29"/>
      <c r="E31" s="29"/>
      <c r="F31" s="29"/>
      <c r="G31" s="29"/>
      <c r="H31" s="29"/>
      <c r="I31" s="29"/>
      <c r="J31" s="29"/>
      <c r="K31" s="29"/>
      <c r="L31" s="29"/>
      <c r="M31" s="29"/>
      <c r="N31" s="29"/>
      <c r="O31" s="29"/>
      <c r="P31" s="29"/>
      <c r="Q31" s="29"/>
      <c r="R31" s="29"/>
      <c r="S31" s="29"/>
      <c r="T31" s="29"/>
      <c r="U31" s="29"/>
      <c r="V31" s="29"/>
      <c r="W31" s="29"/>
      <c r="X31" s="30"/>
      <c r="Y31" s="30"/>
      <c r="Z31" s="30"/>
      <c r="AA31" s="30"/>
      <c r="AB31" s="30"/>
      <c r="AC31" s="30"/>
      <c r="AD31" s="30"/>
    </row>
    <row r="32" ht="15.75" customHeight="1">
      <c r="A32" s="29" t="s">
        <v>354</v>
      </c>
      <c r="B32" s="29"/>
      <c r="C32" s="29"/>
      <c r="D32" s="29"/>
      <c r="E32" s="29"/>
      <c r="F32" s="29"/>
      <c r="G32" s="29"/>
      <c r="H32" s="29"/>
      <c r="I32" s="29"/>
      <c r="J32" s="29"/>
      <c r="K32" s="29"/>
      <c r="L32" s="29"/>
      <c r="M32" s="29"/>
      <c r="N32" s="29"/>
      <c r="O32" s="29"/>
      <c r="P32" s="29"/>
      <c r="Q32" s="29"/>
      <c r="R32" s="29"/>
      <c r="S32" s="29"/>
      <c r="T32" s="29"/>
      <c r="U32" s="29"/>
      <c r="V32" s="29"/>
      <c r="W32" s="29"/>
      <c r="X32" s="30"/>
      <c r="Y32" s="30"/>
      <c r="Z32" s="30"/>
      <c r="AA32" s="30"/>
      <c r="AB32" s="30"/>
      <c r="AC32" s="30"/>
      <c r="AD32" s="30"/>
    </row>
    <row r="33" ht="15.0" customHeight="1">
      <c r="A33" s="32" t="s">
        <v>76</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7">
    <mergeCell ref="C6:D6"/>
    <mergeCell ref="E6:F6"/>
    <mergeCell ref="G6:H6"/>
    <mergeCell ref="I6:J6"/>
    <mergeCell ref="L6:M6"/>
    <mergeCell ref="N6:O6"/>
    <mergeCell ref="P6:Q6"/>
    <mergeCell ref="R6:S6"/>
    <mergeCell ref="T6:U6"/>
    <mergeCell ref="A33:AD33"/>
    <mergeCell ref="A4:A7"/>
    <mergeCell ref="B4:J4"/>
    <mergeCell ref="K4:U4"/>
    <mergeCell ref="B5:B7"/>
    <mergeCell ref="C5:J5"/>
    <mergeCell ref="K5:K7"/>
    <mergeCell ref="L5:U5"/>
  </mergeCells>
  <hyperlinks>
    <hyperlink display="BACK TO LIST" location="LIST!A1" ref="A1"/>
  </hyperlinks>
  <printOptions/>
  <pageMargins bottom="0.75" footer="0.0" header="0.0" left="0.7" right="0.7" top="0.75"/>
  <pageSetup orientation="landscape"/>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9"/>
    <pageSetUpPr/>
  </sheetPr>
  <sheetViews>
    <sheetView workbookViewId="0"/>
  </sheetViews>
  <sheetFormatPr customHeight="1" defaultColWidth="12.63" defaultRowHeight="15.0"/>
  <cols>
    <col customWidth="1" min="1" max="1" width="39.0"/>
    <col customWidth="1" min="2" max="15" width="14.0"/>
    <col customWidth="1" min="16" max="26" width="8.63"/>
  </cols>
  <sheetData>
    <row r="1">
      <c r="A1" s="5" t="s">
        <v>1</v>
      </c>
      <c r="B1" s="5"/>
      <c r="C1" s="5"/>
      <c r="D1" s="5"/>
      <c r="E1" s="5"/>
      <c r="F1" s="5"/>
    </row>
    <row r="2" ht="15.0" customHeight="1">
      <c r="A2" s="6" t="s">
        <v>346</v>
      </c>
      <c r="B2" s="6"/>
      <c r="C2" s="6"/>
      <c r="D2" s="6"/>
      <c r="E2" s="6"/>
      <c r="F2" s="6"/>
      <c r="G2" s="6"/>
      <c r="H2" s="6"/>
      <c r="I2" s="6"/>
      <c r="J2" s="6"/>
      <c r="K2" s="6"/>
      <c r="L2" s="53"/>
      <c r="M2" s="53"/>
    </row>
    <row r="3">
      <c r="A3" s="8"/>
      <c r="B3" s="8"/>
      <c r="C3" s="8"/>
      <c r="D3" s="8"/>
      <c r="E3" s="8"/>
      <c r="F3" s="8"/>
      <c r="G3" s="9"/>
      <c r="H3" s="9"/>
      <c r="I3" s="9"/>
      <c r="J3" s="9"/>
      <c r="K3" s="9"/>
      <c r="L3" s="9"/>
      <c r="M3" s="9"/>
      <c r="N3" s="9"/>
      <c r="O3" s="9"/>
    </row>
    <row r="4">
      <c r="A4" s="10" t="s">
        <v>13</v>
      </c>
      <c r="B4" s="12">
        <v>2019.0</v>
      </c>
      <c r="C4" s="14"/>
      <c r="D4" s="14"/>
      <c r="E4" s="14"/>
      <c r="F4" s="15"/>
      <c r="G4" s="12">
        <v>2024.0</v>
      </c>
      <c r="H4" s="14"/>
      <c r="I4" s="14"/>
      <c r="J4" s="14"/>
      <c r="K4" s="14"/>
      <c r="L4" s="14"/>
      <c r="M4" s="14"/>
      <c r="N4" s="14"/>
      <c r="O4" s="15"/>
    </row>
    <row r="5" ht="30.0" customHeight="1">
      <c r="A5" s="17"/>
      <c r="B5" s="21" t="s">
        <v>143</v>
      </c>
      <c r="C5" s="13" t="s">
        <v>347</v>
      </c>
      <c r="D5" s="15"/>
      <c r="E5" s="13" t="s">
        <v>348</v>
      </c>
      <c r="F5" s="15"/>
      <c r="G5" s="21" t="s">
        <v>143</v>
      </c>
      <c r="H5" s="13" t="s">
        <v>347</v>
      </c>
      <c r="I5" s="15"/>
      <c r="J5" s="13" t="s">
        <v>348</v>
      </c>
      <c r="K5" s="15"/>
      <c r="L5" s="13" t="s">
        <v>349</v>
      </c>
      <c r="M5" s="15"/>
      <c r="N5" s="13" t="s">
        <v>350</v>
      </c>
      <c r="O5" s="15"/>
    </row>
    <row r="6">
      <c r="A6" s="18"/>
      <c r="B6" s="18"/>
      <c r="C6" s="24" t="s">
        <v>37</v>
      </c>
      <c r="D6" s="24" t="s">
        <v>39</v>
      </c>
      <c r="E6" s="24" t="s">
        <v>37</v>
      </c>
      <c r="F6" s="24" t="s">
        <v>39</v>
      </c>
      <c r="G6" s="18"/>
      <c r="H6" s="24" t="s">
        <v>37</v>
      </c>
      <c r="I6" s="24" t="s">
        <v>39</v>
      </c>
      <c r="J6" s="24" t="s">
        <v>37</v>
      </c>
      <c r="K6" s="24" t="s">
        <v>39</v>
      </c>
      <c r="L6" s="24" t="s">
        <v>37</v>
      </c>
      <c r="M6" s="24" t="s">
        <v>39</v>
      </c>
      <c r="N6" s="24" t="s">
        <v>37</v>
      </c>
      <c r="O6" s="24" t="s">
        <v>39</v>
      </c>
    </row>
    <row r="7">
      <c r="A7" s="16"/>
      <c r="B7" s="16"/>
      <c r="C7" s="16"/>
      <c r="D7" s="16"/>
      <c r="E7" s="16"/>
      <c r="F7" s="16"/>
      <c r="G7" s="20"/>
      <c r="H7" s="20"/>
      <c r="I7" s="20"/>
      <c r="J7" s="20"/>
      <c r="K7" s="20"/>
      <c r="L7" s="20"/>
      <c r="M7" s="20"/>
      <c r="N7" s="20"/>
      <c r="O7" s="20"/>
    </row>
    <row r="8">
      <c r="A8" s="22" t="s">
        <v>33</v>
      </c>
      <c r="B8" s="23">
        <f>'Estimated Totals'!D7</f>
        <v>83258836</v>
      </c>
      <c r="C8" s="23">
        <v>3058130.0</v>
      </c>
      <c r="D8" s="27">
        <f t="shared" ref="D8:D25" si="1">(C8/$B8)*100</f>
        <v>3.67303958</v>
      </c>
      <c r="E8" s="23">
        <v>4586841.285429</v>
      </c>
      <c r="F8" s="27">
        <f t="shared" ref="F8:F25" si="2">(E8/$B8)*100</f>
        <v>5.509134532</v>
      </c>
      <c r="G8" s="23">
        <v>9.1383228E7</v>
      </c>
      <c r="H8" s="23">
        <v>8724207.0</v>
      </c>
      <c r="I8" s="27">
        <f t="shared" ref="I8:I25" si="3">(H8/$G8)*100</f>
        <v>9.5468361</v>
      </c>
      <c r="J8" s="23">
        <v>2.7198775E7</v>
      </c>
      <c r="K8" s="27">
        <f t="shared" ref="K8:K25" si="4">(J8/$G8)*100</f>
        <v>29.76342114</v>
      </c>
      <c r="L8" s="23">
        <v>1351944.0</v>
      </c>
      <c r="M8" s="27">
        <f t="shared" ref="M8:M25" si="5">(L8/$G8)*100</f>
        <v>1.47942246</v>
      </c>
      <c r="N8" s="23">
        <v>2.6914771E7</v>
      </c>
      <c r="O8" s="27">
        <f t="shared" ref="O8:O25" si="6">(N8/$G8)*100</f>
        <v>29.45263763</v>
      </c>
      <c r="R8" s="57"/>
    </row>
    <row r="9">
      <c r="A9" s="25" t="s">
        <v>38</v>
      </c>
      <c r="B9" s="26">
        <f>'Estimated Totals'!D8</f>
        <v>11005073</v>
      </c>
      <c r="C9" s="26">
        <v>820284.0</v>
      </c>
      <c r="D9" s="31">
        <f t="shared" si="1"/>
        <v>7.453689767</v>
      </c>
      <c r="E9" s="26">
        <v>1396898.336090001</v>
      </c>
      <c r="F9" s="31">
        <f t="shared" si="2"/>
        <v>12.6932219</v>
      </c>
      <c r="G9" s="26">
        <v>1.1919468E7</v>
      </c>
      <c r="H9" s="26">
        <v>2738593.0</v>
      </c>
      <c r="I9" s="31">
        <f t="shared" si="3"/>
        <v>22.97579892</v>
      </c>
      <c r="J9" s="26">
        <v>4996062.0</v>
      </c>
      <c r="K9" s="31">
        <f t="shared" si="4"/>
        <v>41.91514252</v>
      </c>
      <c r="L9" s="26">
        <v>295421.0</v>
      </c>
      <c r="M9" s="31">
        <f t="shared" si="5"/>
        <v>2.47847471</v>
      </c>
      <c r="N9" s="26">
        <v>4947365.0</v>
      </c>
      <c r="O9" s="31">
        <f t="shared" si="6"/>
        <v>41.50659241</v>
      </c>
      <c r="R9" s="58"/>
    </row>
    <row r="10">
      <c r="A10" s="25" t="s">
        <v>41</v>
      </c>
      <c r="B10" s="26">
        <f>'Estimated Totals'!D9</f>
        <v>1394660</v>
      </c>
      <c r="C10" s="26">
        <v>47297.0</v>
      </c>
      <c r="D10" s="31">
        <f t="shared" si="1"/>
        <v>3.391292501</v>
      </c>
      <c r="E10" s="26">
        <v>57535.646410999994</v>
      </c>
      <c r="F10" s="31">
        <f t="shared" si="2"/>
        <v>4.125424577</v>
      </c>
      <c r="G10" s="26">
        <v>1496049.0</v>
      </c>
      <c r="H10" s="26">
        <v>131514.0</v>
      </c>
      <c r="I10" s="31">
        <f t="shared" si="3"/>
        <v>8.790754848</v>
      </c>
      <c r="J10" s="26">
        <v>354655.0</v>
      </c>
      <c r="K10" s="31">
        <f t="shared" si="4"/>
        <v>23.70610856</v>
      </c>
      <c r="L10" s="26">
        <v>25244.0</v>
      </c>
      <c r="M10" s="31">
        <f t="shared" si="5"/>
        <v>1.687377887</v>
      </c>
      <c r="N10" s="26">
        <v>347367.0</v>
      </c>
      <c r="O10" s="31">
        <f t="shared" si="6"/>
        <v>23.21895874</v>
      </c>
      <c r="R10" s="58"/>
    </row>
    <row r="11">
      <c r="A11" s="25" t="s">
        <v>43</v>
      </c>
      <c r="B11" s="26">
        <f>'Estimated Totals'!D10</f>
        <v>4063052</v>
      </c>
      <c r="C11" s="26">
        <v>122265.0</v>
      </c>
      <c r="D11" s="31">
        <f t="shared" si="1"/>
        <v>3.00919112</v>
      </c>
      <c r="E11" s="26">
        <v>180337.08843000003</v>
      </c>
      <c r="F11" s="31">
        <f t="shared" si="2"/>
        <v>4.438463707</v>
      </c>
      <c r="G11" s="26">
        <v>4389510.0</v>
      </c>
      <c r="H11" s="26">
        <v>390356.0</v>
      </c>
      <c r="I11" s="31">
        <f t="shared" si="3"/>
        <v>8.892928823</v>
      </c>
      <c r="J11" s="26">
        <v>1530423.0</v>
      </c>
      <c r="K11" s="31">
        <f t="shared" si="4"/>
        <v>34.86546334</v>
      </c>
      <c r="L11" s="26">
        <v>77617.0</v>
      </c>
      <c r="M11" s="31">
        <f t="shared" si="5"/>
        <v>1.768238368</v>
      </c>
      <c r="N11" s="26">
        <v>1509470.0</v>
      </c>
      <c r="O11" s="31">
        <f t="shared" si="6"/>
        <v>34.38812077</v>
      </c>
      <c r="R11" s="58"/>
    </row>
    <row r="12">
      <c r="A12" s="25" t="s">
        <v>44</v>
      </c>
      <c r="B12" s="26">
        <f>'Estimated Totals'!D11</f>
        <v>2820240</v>
      </c>
      <c r="C12" s="26">
        <v>76615.0</v>
      </c>
      <c r="D12" s="31">
        <f t="shared" si="1"/>
        <v>2.716612771</v>
      </c>
      <c r="E12" s="26">
        <v>87185.46135200001</v>
      </c>
      <c r="F12" s="31">
        <f t="shared" si="2"/>
        <v>3.091419927</v>
      </c>
      <c r="G12" s="26">
        <v>3055894.0</v>
      </c>
      <c r="H12" s="26">
        <v>185382.0</v>
      </c>
      <c r="I12" s="31">
        <f t="shared" si="3"/>
        <v>6.066375339</v>
      </c>
      <c r="J12" s="26">
        <v>976351.0</v>
      </c>
      <c r="K12" s="31">
        <f t="shared" si="4"/>
        <v>31.94976658</v>
      </c>
      <c r="L12" s="26">
        <v>16359.0</v>
      </c>
      <c r="M12" s="31">
        <f t="shared" si="5"/>
        <v>0.5353261599</v>
      </c>
      <c r="N12" s="26">
        <v>974799.0</v>
      </c>
      <c r="O12" s="31">
        <f t="shared" si="6"/>
        <v>31.89897948</v>
      </c>
      <c r="R12" s="58"/>
    </row>
    <row r="13">
      <c r="A13" s="25" t="s">
        <v>46</v>
      </c>
      <c r="B13" s="26">
        <f>'Estimated Totals'!D12</f>
        <v>9585315</v>
      </c>
      <c r="C13" s="26">
        <v>348277.0</v>
      </c>
      <c r="D13" s="31">
        <f t="shared" si="1"/>
        <v>3.63344345</v>
      </c>
      <c r="E13" s="26">
        <v>719176.42067</v>
      </c>
      <c r="F13" s="31">
        <f t="shared" si="2"/>
        <v>7.502898138</v>
      </c>
      <c r="G13" s="26">
        <v>1.070829E7</v>
      </c>
      <c r="H13" s="26">
        <v>682343.0</v>
      </c>
      <c r="I13" s="31">
        <f t="shared" si="3"/>
        <v>6.372100494</v>
      </c>
      <c r="J13" s="26">
        <v>3848746.0</v>
      </c>
      <c r="K13" s="31">
        <f t="shared" si="4"/>
        <v>35.94174233</v>
      </c>
      <c r="L13" s="26">
        <v>139947.0</v>
      </c>
      <c r="M13" s="31">
        <f t="shared" si="5"/>
        <v>1.306903343</v>
      </c>
      <c r="N13" s="26">
        <v>3818154.0</v>
      </c>
      <c r="O13" s="31">
        <f t="shared" si="6"/>
        <v>35.65605713</v>
      </c>
      <c r="R13" s="58"/>
    </row>
    <row r="14">
      <c r="A14" s="25" t="s">
        <v>48</v>
      </c>
      <c r="B14" s="26">
        <f>'Estimated Totals'!D13</f>
        <v>12457452</v>
      </c>
      <c r="C14" s="26">
        <v>660576.0</v>
      </c>
      <c r="D14" s="31">
        <f t="shared" si="1"/>
        <v>5.302657397</v>
      </c>
      <c r="E14" s="26">
        <v>981900.1919099995</v>
      </c>
      <c r="F14" s="31">
        <f t="shared" si="2"/>
        <v>7.882030707</v>
      </c>
      <c r="G14" s="26">
        <v>1.3985526E7</v>
      </c>
      <c r="H14" s="26">
        <v>1546363.0</v>
      </c>
      <c r="I14" s="31">
        <f t="shared" si="3"/>
        <v>11.05688124</v>
      </c>
      <c r="J14" s="26">
        <v>5355861.0</v>
      </c>
      <c r="K14" s="31">
        <f t="shared" si="4"/>
        <v>38.29574233</v>
      </c>
      <c r="L14" s="26">
        <v>190420.0</v>
      </c>
      <c r="M14" s="31">
        <f t="shared" si="5"/>
        <v>1.361550506</v>
      </c>
      <c r="N14" s="26">
        <v>5318322.0</v>
      </c>
      <c r="O14" s="31">
        <f t="shared" si="6"/>
        <v>38.02732911</v>
      </c>
      <c r="R14" s="58"/>
    </row>
    <row r="15">
      <c r="A15" s="25" t="s">
        <v>50</v>
      </c>
      <c r="B15" s="26">
        <f>'Estimated Totals'!D14</f>
        <v>2347582</v>
      </c>
      <c r="C15" s="26">
        <v>25475.0</v>
      </c>
      <c r="D15" s="31">
        <f t="shared" si="1"/>
        <v>1.085159113</v>
      </c>
      <c r="E15" s="26">
        <v>77969.84838000001</v>
      </c>
      <c r="F15" s="31">
        <f t="shared" si="2"/>
        <v>3.321283277</v>
      </c>
      <c r="G15" s="26">
        <v>2538126.0</v>
      </c>
      <c r="H15" s="26">
        <v>191944.0</v>
      </c>
      <c r="I15" s="31">
        <f t="shared" si="3"/>
        <v>7.562429919</v>
      </c>
      <c r="J15" s="26">
        <v>705002.0</v>
      </c>
      <c r="K15" s="31">
        <f t="shared" si="4"/>
        <v>27.77647761</v>
      </c>
      <c r="L15" s="26">
        <v>52378.0</v>
      </c>
      <c r="M15" s="31">
        <f t="shared" si="5"/>
        <v>2.063648534</v>
      </c>
      <c r="N15" s="26">
        <v>701468.0</v>
      </c>
      <c r="O15" s="31">
        <f t="shared" si="6"/>
        <v>27.63724102</v>
      </c>
      <c r="R15" s="58"/>
    </row>
    <row r="16">
      <c r="A16" s="25" t="s">
        <v>51</v>
      </c>
      <c r="B16" s="26">
        <f>'Estimated Totals'!D15</f>
        <v>4528646</v>
      </c>
      <c r="C16" s="26">
        <v>113262.0</v>
      </c>
      <c r="D16" s="31">
        <f t="shared" si="1"/>
        <v>2.501012444</v>
      </c>
      <c r="E16" s="26">
        <v>172696.66542099995</v>
      </c>
      <c r="F16" s="31">
        <f t="shared" si="2"/>
        <v>3.813428239</v>
      </c>
      <c r="G16" s="26">
        <v>4884805.0</v>
      </c>
      <c r="H16" s="26">
        <v>352981.0</v>
      </c>
      <c r="I16" s="31">
        <f t="shared" si="3"/>
        <v>7.226102168</v>
      </c>
      <c r="J16" s="26">
        <v>1404859.0</v>
      </c>
      <c r="K16" s="31">
        <f t="shared" si="4"/>
        <v>28.75977649</v>
      </c>
      <c r="L16" s="26">
        <v>47465.0</v>
      </c>
      <c r="M16" s="31">
        <f t="shared" si="5"/>
        <v>0.9716866896</v>
      </c>
      <c r="N16" s="26">
        <v>1394577.0</v>
      </c>
      <c r="O16" s="31">
        <f t="shared" si="6"/>
        <v>28.54928702</v>
      </c>
      <c r="R16" s="58"/>
    </row>
    <row r="17">
      <c r="A17" s="25" t="s">
        <v>53</v>
      </c>
      <c r="B17" s="26">
        <f>'Estimated Totals'!D16</f>
        <v>6087553</v>
      </c>
      <c r="C17" s="26">
        <v>155799.0</v>
      </c>
      <c r="D17" s="31">
        <f t="shared" si="1"/>
        <v>2.559304206</v>
      </c>
      <c r="E17" s="26">
        <v>201929.72178000005</v>
      </c>
      <c r="F17" s="31">
        <f t="shared" si="2"/>
        <v>3.317091807</v>
      </c>
      <c r="G17" s="26">
        <v>6586874.0</v>
      </c>
      <c r="H17" s="26">
        <v>580865.0</v>
      </c>
      <c r="I17" s="31">
        <f t="shared" si="3"/>
        <v>8.81852302</v>
      </c>
      <c r="J17" s="26">
        <v>1672895.0</v>
      </c>
      <c r="K17" s="31">
        <f t="shared" si="4"/>
        <v>25.39740399</v>
      </c>
      <c r="L17" s="26">
        <v>104863.0</v>
      </c>
      <c r="M17" s="31">
        <f t="shared" si="5"/>
        <v>1.591999483</v>
      </c>
      <c r="N17" s="26">
        <v>1651275.0</v>
      </c>
      <c r="O17" s="31">
        <f t="shared" si="6"/>
        <v>25.06917545</v>
      </c>
      <c r="R17" s="58"/>
    </row>
    <row r="18">
      <c r="A18" s="25" t="s">
        <v>54</v>
      </c>
      <c r="B18" s="26">
        <f>'Estimated Totals'!D17</f>
        <v>6058752</v>
      </c>
      <c r="C18" s="26">
        <v>55864.0</v>
      </c>
      <c r="D18" s="31">
        <f t="shared" si="1"/>
        <v>0.9220380699</v>
      </c>
      <c r="E18" s="26">
        <v>171176.84705000004</v>
      </c>
      <c r="F18" s="31">
        <f t="shared" si="2"/>
        <v>2.825282287</v>
      </c>
      <c r="G18" s="26">
        <v>6668940.0</v>
      </c>
      <c r="H18" s="26">
        <v>611238.0</v>
      </c>
      <c r="I18" s="31">
        <f t="shared" si="3"/>
        <v>9.165444583</v>
      </c>
      <c r="J18" s="26">
        <v>2014657.0</v>
      </c>
      <c r="K18" s="31">
        <f t="shared" si="4"/>
        <v>30.20955354</v>
      </c>
      <c r="L18" s="26">
        <v>76287.0</v>
      </c>
      <c r="M18" s="31">
        <f t="shared" si="5"/>
        <v>1.143914925</v>
      </c>
      <c r="N18" s="26">
        <v>1996824.0</v>
      </c>
      <c r="O18" s="31">
        <f t="shared" si="6"/>
        <v>29.94214973</v>
      </c>
      <c r="R18" s="58"/>
    </row>
    <row r="19">
      <c r="A19" s="25" t="s">
        <v>56</v>
      </c>
      <c r="B19" s="26">
        <f>'Estimated Totals'!D18</f>
        <v>3529248</v>
      </c>
      <c r="C19" s="26">
        <v>61901.0</v>
      </c>
      <c r="D19" s="31">
        <f t="shared" si="1"/>
        <v>1.75394305</v>
      </c>
      <c r="E19" s="26">
        <v>129682.47579500002</v>
      </c>
      <c r="F19" s="31">
        <f t="shared" si="2"/>
        <v>3.674507311</v>
      </c>
      <c r="G19" s="26">
        <v>3864215.0</v>
      </c>
      <c r="H19" s="26">
        <v>226312.0</v>
      </c>
      <c r="I19" s="31">
        <f t="shared" si="3"/>
        <v>5.856609945</v>
      </c>
      <c r="J19" s="26">
        <v>951121.0</v>
      </c>
      <c r="K19" s="31">
        <f t="shared" si="4"/>
        <v>24.61356317</v>
      </c>
      <c r="L19" s="26">
        <v>106453.0</v>
      </c>
      <c r="M19" s="31">
        <f t="shared" si="5"/>
        <v>2.75484154</v>
      </c>
      <c r="N19" s="26">
        <v>913713.0</v>
      </c>
      <c r="O19" s="31">
        <f t="shared" si="6"/>
        <v>23.64550109</v>
      </c>
      <c r="R19" s="58"/>
    </row>
    <row r="20">
      <c r="A20" s="25" t="s">
        <v>57</v>
      </c>
      <c r="B20" s="26">
        <f>'Estimated Totals'!D19</f>
        <v>2856878</v>
      </c>
      <c r="C20" s="26">
        <v>94920.0</v>
      </c>
      <c r="D20" s="31">
        <f t="shared" si="1"/>
        <v>3.322507996</v>
      </c>
      <c r="E20" s="26">
        <v>51434.846</v>
      </c>
      <c r="F20" s="31">
        <f t="shared" si="2"/>
        <v>1.800386506</v>
      </c>
      <c r="G20" s="26">
        <v>3062611.0</v>
      </c>
      <c r="H20" s="26">
        <v>106176.0</v>
      </c>
      <c r="I20" s="31">
        <f t="shared" si="3"/>
        <v>3.466845773</v>
      </c>
      <c r="J20" s="26">
        <v>277971.0</v>
      </c>
      <c r="K20" s="31">
        <f t="shared" si="4"/>
        <v>9.076275113</v>
      </c>
      <c r="L20" s="26">
        <v>34244.0</v>
      </c>
      <c r="M20" s="31">
        <f t="shared" si="5"/>
        <v>1.118130902</v>
      </c>
      <c r="N20" s="26">
        <v>274388.0</v>
      </c>
      <c r="O20" s="31">
        <f t="shared" si="6"/>
        <v>8.959283435</v>
      </c>
      <c r="R20" s="58"/>
    </row>
    <row r="21" ht="15.75" customHeight="1">
      <c r="A21" s="25" t="s">
        <v>59</v>
      </c>
      <c r="B21" s="26">
        <f>'Estimated Totals'!D20</f>
        <v>3802692</v>
      </c>
      <c r="C21" s="26">
        <v>60263.0</v>
      </c>
      <c r="D21" s="31">
        <f t="shared" si="1"/>
        <v>1.584745754</v>
      </c>
      <c r="E21" s="26">
        <v>68538.59556999999</v>
      </c>
      <c r="F21" s="31">
        <f t="shared" si="2"/>
        <v>1.802370415</v>
      </c>
      <c r="G21" s="26">
        <v>4175626.0</v>
      </c>
      <c r="H21" s="26">
        <v>305236.0</v>
      </c>
      <c r="I21" s="31">
        <f t="shared" si="3"/>
        <v>7.309945862</v>
      </c>
      <c r="J21" s="26">
        <v>800395.0</v>
      </c>
      <c r="K21" s="31">
        <f t="shared" si="4"/>
        <v>19.16826363</v>
      </c>
      <c r="L21" s="26">
        <v>45467.0</v>
      </c>
      <c r="M21" s="31">
        <f t="shared" si="5"/>
        <v>1.088866675</v>
      </c>
      <c r="N21" s="26">
        <v>788928.0</v>
      </c>
      <c r="O21" s="31">
        <f t="shared" si="6"/>
        <v>18.89364613</v>
      </c>
      <c r="R21" s="58"/>
    </row>
    <row r="22" ht="15.75" customHeight="1">
      <c r="A22" s="25" t="s">
        <v>60</v>
      </c>
      <c r="B22" s="26">
        <f>'Estimated Totals'!D21</f>
        <v>4022390</v>
      </c>
      <c r="C22" s="26">
        <v>220331.0</v>
      </c>
      <c r="D22" s="31">
        <f t="shared" si="1"/>
        <v>5.477614055</v>
      </c>
      <c r="E22" s="26">
        <v>93541.71211</v>
      </c>
      <c r="F22" s="31">
        <f t="shared" si="2"/>
        <v>2.325525673</v>
      </c>
      <c r="G22" s="26">
        <v>4443602.0</v>
      </c>
      <c r="H22" s="26">
        <v>250115.0</v>
      </c>
      <c r="I22" s="31">
        <f t="shared" si="3"/>
        <v>5.628654411</v>
      </c>
      <c r="J22" s="26">
        <v>748372.0</v>
      </c>
      <c r="K22" s="31">
        <f t="shared" si="4"/>
        <v>16.84156232</v>
      </c>
      <c r="L22" s="26">
        <v>45449.0</v>
      </c>
      <c r="M22" s="31">
        <f t="shared" si="5"/>
        <v>1.022796371</v>
      </c>
      <c r="N22" s="26">
        <v>738891.0</v>
      </c>
      <c r="O22" s="31">
        <f t="shared" si="6"/>
        <v>16.62819938</v>
      </c>
      <c r="R22" s="58"/>
    </row>
    <row r="23" ht="15.75" customHeight="1">
      <c r="A23" s="25" t="s">
        <v>63</v>
      </c>
      <c r="B23" s="26">
        <f>'Estimated Totals'!D22</f>
        <v>3705981</v>
      </c>
      <c r="C23" s="26">
        <v>102859.0</v>
      </c>
      <c r="D23" s="31">
        <f t="shared" si="1"/>
        <v>2.775486437</v>
      </c>
      <c r="E23" s="26">
        <v>116632.34508999999</v>
      </c>
      <c r="F23" s="31">
        <f t="shared" si="2"/>
        <v>3.147138237</v>
      </c>
      <c r="G23" s="26">
        <v>3636167.0</v>
      </c>
      <c r="H23" s="26">
        <v>225511.0</v>
      </c>
      <c r="I23" s="31">
        <f t="shared" si="3"/>
        <v>6.201887867</v>
      </c>
      <c r="J23" s="26">
        <v>747551.0</v>
      </c>
      <c r="K23" s="31">
        <f t="shared" si="4"/>
        <v>20.55876422</v>
      </c>
      <c r="L23" s="26">
        <v>44457.0</v>
      </c>
      <c r="M23" s="31">
        <f t="shared" si="5"/>
        <v>1.222633614</v>
      </c>
      <c r="N23" s="26">
        <v>739884.0</v>
      </c>
      <c r="O23" s="31">
        <f t="shared" si="6"/>
        <v>20.34791031</v>
      </c>
      <c r="R23" s="58"/>
    </row>
    <row r="24" ht="15.75" customHeight="1">
      <c r="A24" s="25" t="s">
        <v>64</v>
      </c>
      <c r="B24" s="26">
        <f>'Estimated Totals'!D23</f>
        <v>2050203</v>
      </c>
      <c r="C24" s="26">
        <v>52558.0</v>
      </c>
      <c r="D24" s="31">
        <f t="shared" si="1"/>
        <v>2.563551024</v>
      </c>
      <c r="E24" s="26">
        <v>61402.529539999996</v>
      </c>
      <c r="F24" s="31">
        <f t="shared" si="2"/>
        <v>2.99494877</v>
      </c>
      <c r="G24" s="26">
        <v>2220907.0</v>
      </c>
      <c r="H24" s="26">
        <v>73615.0</v>
      </c>
      <c r="I24" s="31">
        <f t="shared" si="3"/>
        <v>3.314636768</v>
      </c>
      <c r="J24" s="26">
        <v>476808.0</v>
      </c>
      <c r="K24" s="31">
        <f t="shared" si="4"/>
        <v>21.46906647</v>
      </c>
      <c r="L24" s="26">
        <v>15432.0</v>
      </c>
      <c r="M24" s="31">
        <f t="shared" si="5"/>
        <v>0.6948512477</v>
      </c>
      <c r="N24" s="26">
        <v>469559.0</v>
      </c>
      <c r="O24" s="31">
        <f t="shared" si="6"/>
        <v>21.14266829</v>
      </c>
      <c r="R24" s="58"/>
    </row>
    <row r="25" ht="15.75" customHeight="1">
      <c r="A25" s="25" t="s">
        <v>65</v>
      </c>
      <c r="B25" s="26">
        <f>'Estimated Totals'!D24</f>
        <v>2943119</v>
      </c>
      <c r="C25" s="26">
        <v>39584.0</v>
      </c>
      <c r="D25" s="31">
        <f t="shared" si="1"/>
        <v>1.344967703</v>
      </c>
      <c r="E25" s="26">
        <v>18802.553829999997</v>
      </c>
      <c r="F25" s="31">
        <f t="shared" si="2"/>
        <v>0.6388648855</v>
      </c>
      <c r="G25" s="26">
        <v>3746618.0</v>
      </c>
      <c r="H25" s="26">
        <v>125664.0</v>
      </c>
      <c r="I25" s="31">
        <f t="shared" si="3"/>
        <v>3.354064919</v>
      </c>
      <c r="J25" s="26">
        <v>337048.0</v>
      </c>
      <c r="K25" s="31">
        <f t="shared" si="4"/>
        <v>8.996059913</v>
      </c>
      <c r="L25" s="26">
        <v>34441.0</v>
      </c>
      <c r="M25" s="31">
        <f t="shared" si="5"/>
        <v>0.9192557128</v>
      </c>
      <c r="N25" s="26">
        <v>329786.0</v>
      </c>
      <c r="O25" s="31">
        <f t="shared" si="6"/>
        <v>8.802231773</v>
      </c>
      <c r="R25" s="58"/>
    </row>
    <row r="26" ht="15.75" customHeight="1">
      <c r="A26" s="28"/>
      <c r="B26" s="28"/>
      <c r="C26" s="28"/>
      <c r="D26" s="28"/>
      <c r="E26" s="28"/>
      <c r="F26" s="28"/>
      <c r="G26" s="28"/>
      <c r="H26" s="28"/>
      <c r="I26" s="28"/>
      <c r="J26" s="28"/>
      <c r="K26" s="28"/>
      <c r="L26" s="28"/>
      <c r="M26" s="28"/>
      <c r="N26" s="28"/>
      <c r="O26" s="28"/>
    </row>
    <row r="27" ht="15.75" customHeight="1">
      <c r="A27" s="9"/>
      <c r="B27" s="9"/>
      <c r="C27" s="9"/>
      <c r="D27" s="9"/>
      <c r="E27" s="9"/>
      <c r="F27" s="9"/>
      <c r="G27" s="9"/>
      <c r="H27" s="9"/>
      <c r="I27" s="9"/>
      <c r="J27" s="9"/>
      <c r="K27" s="9"/>
      <c r="L27" s="9"/>
      <c r="M27" s="9"/>
      <c r="N27" s="9"/>
      <c r="O27" s="9"/>
    </row>
    <row r="28" ht="15.75" customHeight="1">
      <c r="A28" s="29" t="s">
        <v>69</v>
      </c>
      <c r="B28" s="29"/>
      <c r="C28" s="29"/>
      <c r="D28" s="29"/>
      <c r="E28" s="29"/>
      <c r="F28" s="29"/>
      <c r="G28" s="29"/>
      <c r="H28" s="29"/>
      <c r="I28" s="29"/>
      <c r="J28" s="29"/>
      <c r="K28" s="29"/>
      <c r="L28" s="29"/>
      <c r="M28" s="29"/>
      <c r="N28" s="29"/>
      <c r="O28" s="29"/>
    </row>
    <row r="29" ht="15.75" customHeight="1">
      <c r="A29" s="29" t="s">
        <v>72</v>
      </c>
      <c r="B29" s="29"/>
      <c r="C29" s="29"/>
      <c r="D29" s="29"/>
      <c r="E29" s="29"/>
      <c r="F29" s="29"/>
      <c r="G29" s="29"/>
      <c r="H29" s="29"/>
      <c r="I29" s="29"/>
      <c r="J29" s="29"/>
      <c r="K29" s="29"/>
      <c r="L29" s="29"/>
      <c r="M29" s="29"/>
      <c r="N29" s="29"/>
      <c r="O29" s="29"/>
    </row>
    <row r="30" ht="15.75" customHeight="1">
      <c r="A30" s="29" t="s">
        <v>357</v>
      </c>
      <c r="B30" s="29"/>
      <c r="C30" s="29"/>
      <c r="D30" s="29"/>
      <c r="E30" s="29"/>
      <c r="F30" s="29"/>
      <c r="G30" s="29"/>
      <c r="H30" s="29"/>
      <c r="I30" s="29"/>
      <c r="J30" s="29"/>
      <c r="K30" s="29"/>
      <c r="L30" s="29"/>
      <c r="M30" s="29"/>
      <c r="N30" s="29"/>
      <c r="O30" s="29"/>
    </row>
    <row r="31" ht="15.75" customHeight="1">
      <c r="A31" s="29" t="s">
        <v>358</v>
      </c>
      <c r="B31" s="29"/>
      <c r="C31" s="29"/>
      <c r="D31" s="29"/>
      <c r="E31" s="29"/>
      <c r="F31" s="29"/>
      <c r="G31" s="29"/>
      <c r="H31" s="29"/>
      <c r="I31" s="29"/>
      <c r="J31" s="29"/>
      <c r="K31" s="29"/>
      <c r="L31" s="29"/>
      <c r="M31" s="29"/>
      <c r="N31" s="29"/>
      <c r="O31" s="29"/>
    </row>
    <row r="32" ht="15.75" customHeight="1">
      <c r="A32" s="32" t="s">
        <v>76</v>
      </c>
    </row>
    <row r="33" ht="15.75" customHeight="1">
      <c r="A33" s="32"/>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
    <mergeCell ref="H5:I5"/>
    <mergeCell ref="J5:K5"/>
    <mergeCell ref="L5:M5"/>
    <mergeCell ref="N5:O5"/>
    <mergeCell ref="A32:O32"/>
    <mergeCell ref="A33:O33"/>
    <mergeCell ref="A4:A6"/>
    <mergeCell ref="B4:F4"/>
    <mergeCell ref="G4:O4"/>
    <mergeCell ref="B5:B6"/>
    <mergeCell ref="C5:D5"/>
    <mergeCell ref="E5:F5"/>
    <mergeCell ref="G5:G6"/>
  </mergeCells>
  <conditionalFormatting sqref="R9:R25">
    <cfRule type="colorScale" priority="1">
      <colorScale>
        <cfvo type="min"/>
        <cfvo type="percentile" val="50"/>
        <cfvo type="max"/>
        <color rgb="FFF8696B"/>
        <color rgb="FFFCFCFF"/>
        <color rgb="FF63BE7B"/>
      </colorScale>
    </cfRule>
  </conditionalFormatting>
  <hyperlinks>
    <hyperlink display="BACK TO LIST" location="LIST!A1" ref="A1"/>
  </hyperlinks>
  <printOptions/>
  <pageMargins bottom="0.75" footer="0.0" header="0.0" left="0.7" right="0.7" top="0.75"/>
  <pageSetup paperSize="9" scale="63" orientation="portrait"/>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9"/>
    <pageSetUpPr/>
  </sheetPr>
  <sheetViews>
    <sheetView workbookViewId="0"/>
  </sheetViews>
  <sheetFormatPr customHeight="1" defaultColWidth="12.63" defaultRowHeight="15.0"/>
  <cols>
    <col customWidth="1" min="1" max="1" width="39.0"/>
    <col customWidth="1" min="2" max="7" width="14.0"/>
    <col customWidth="1" min="8" max="26" width="8.63"/>
  </cols>
  <sheetData>
    <row r="1">
      <c r="A1" s="5" t="s">
        <v>1</v>
      </c>
      <c r="B1" s="5"/>
      <c r="C1" s="5"/>
      <c r="D1" s="5"/>
    </row>
    <row r="2" ht="15.0" customHeight="1">
      <c r="A2" s="6" t="s">
        <v>351</v>
      </c>
      <c r="B2" s="6"/>
      <c r="C2" s="6"/>
      <c r="D2" s="6"/>
      <c r="E2" s="6"/>
      <c r="F2" s="53"/>
      <c r="G2" s="53"/>
    </row>
    <row r="3">
      <c r="A3" s="8"/>
      <c r="B3" s="8"/>
      <c r="C3" s="8"/>
      <c r="D3" s="8"/>
      <c r="E3" s="9"/>
      <c r="F3" s="9"/>
      <c r="G3" s="9"/>
    </row>
    <row r="4">
      <c r="A4" s="10" t="s">
        <v>13</v>
      </c>
      <c r="B4" s="12">
        <v>2019.0</v>
      </c>
      <c r="C4" s="14"/>
      <c r="D4" s="15"/>
      <c r="E4" s="12">
        <v>2024.0</v>
      </c>
      <c r="F4" s="14"/>
      <c r="G4" s="15"/>
    </row>
    <row r="5" ht="30.0" customHeight="1">
      <c r="A5" s="17"/>
      <c r="B5" s="21" t="s">
        <v>143</v>
      </c>
      <c r="C5" s="13" t="s">
        <v>352</v>
      </c>
      <c r="D5" s="15"/>
      <c r="E5" s="21" t="s">
        <v>159</v>
      </c>
      <c r="F5" s="13" t="s">
        <v>352</v>
      </c>
      <c r="G5" s="15"/>
    </row>
    <row r="6">
      <c r="A6" s="18"/>
      <c r="B6" s="18"/>
      <c r="C6" s="24" t="s">
        <v>37</v>
      </c>
      <c r="D6" s="24" t="s">
        <v>39</v>
      </c>
      <c r="E6" s="18"/>
      <c r="F6" s="24" t="s">
        <v>37</v>
      </c>
      <c r="G6" s="24" t="s">
        <v>39</v>
      </c>
    </row>
    <row r="7">
      <c r="A7" s="16"/>
      <c r="B7" s="16"/>
      <c r="C7" s="16"/>
      <c r="D7" s="16"/>
      <c r="E7" s="20"/>
      <c r="F7" s="20"/>
      <c r="G7" s="20"/>
    </row>
    <row r="8">
      <c r="A8" s="22" t="s">
        <v>33</v>
      </c>
      <c r="B8" s="23">
        <v>8.3258836E7</v>
      </c>
      <c r="C8" s="23">
        <v>2769195.0</v>
      </c>
      <c r="D8" s="27">
        <f t="shared" ref="D8:D25" si="1">(C8/$B8)*100</f>
        <v>3.326007344</v>
      </c>
      <c r="E8" s="23">
        <v>7.2989986E7</v>
      </c>
      <c r="F8" s="23">
        <v>2.680376E7</v>
      </c>
      <c r="G8" s="27">
        <f t="shared" ref="G8:G25" si="2">(F8/$E8)*100</f>
        <v>36.72251698</v>
      </c>
    </row>
    <row r="9">
      <c r="A9" s="25" t="s">
        <v>38</v>
      </c>
      <c r="B9" s="26">
        <v>1.1005073E7</v>
      </c>
      <c r="C9" s="26">
        <v>801310.0</v>
      </c>
      <c r="D9" s="31">
        <f t="shared" si="1"/>
        <v>7.28127837</v>
      </c>
      <c r="E9" s="26">
        <v>1.0953079E7</v>
      </c>
      <c r="F9" s="26">
        <v>6626580.0</v>
      </c>
      <c r="G9" s="31">
        <f t="shared" si="2"/>
        <v>60.49970059</v>
      </c>
    </row>
    <row r="10">
      <c r="A10" s="25" t="s">
        <v>41</v>
      </c>
      <c r="B10" s="26">
        <v>1394660.0</v>
      </c>
      <c r="C10" s="26">
        <v>13867.0</v>
      </c>
      <c r="D10" s="31">
        <f t="shared" si="1"/>
        <v>0.9942925157</v>
      </c>
      <c r="E10" s="26">
        <v>1278264.0</v>
      </c>
      <c r="F10" s="26">
        <v>341581.0</v>
      </c>
      <c r="G10" s="31">
        <f t="shared" si="2"/>
        <v>26.72225769</v>
      </c>
    </row>
    <row r="11">
      <c r="A11" s="25" t="s">
        <v>43</v>
      </c>
      <c r="B11" s="26">
        <v>4063052.0</v>
      </c>
      <c r="C11" s="26">
        <v>77972.0</v>
      </c>
      <c r="D11" s="31">
        <f t="shared" si="1"/>
        <v>1.919050015</v>
      </c>
      <c r="E11" s="26">
        <v>3690995.0</v>
      </c>
      <c r="F11" s="26">
        <v>1052705.0</v>
      </c>
      <c r="G11" s="31">
        <f t="shared" si="2"/>
        <v>28.52090019</v>
      </c>
    </row>
    <row r="12">
      <c r="A12" s="25" t="s">
        <v>44</v>
      </c>
      <c r="B12" s="26">
        <v>2820240.0</v>
      </c>
      <c r="C12" s="26">
        <v>61611.0</v>
      </c>
      <c r="D12" s="31">
        <f t="shared" si="1"/>
        <v>2.184601311</v>
      </c>
      <c r="E12" s="26">
        <v>2454608.0</v>
      </c>
      <c r="F12" s="26">
        <v>599929.0</v>
      </c>
      <c r="G12" s="31">
        <f t="shared" si="2"/>
        <v>24.44092906</v>
      </c>
    </row>
    <row r="13">
      <c r="A13" s="25" t="s">
        <v>46</v>
      </c>
      <c r="B13" s="26">
        <v>9585315.0</v>
      </c>
      <c r="C13" s="26">
        <v>195090.0</v>
      </c>
      <c r="D13" s="31">
        <f t="shared" si="1"/>
        <v>2.035300874</v>
      </c>
      <c r="E13" s="26">
        <v>9031169.0</v>
      </c>
      <c r="F13" s="26">
        <v>3410624.0</v>
      </c>
      <c r="G13" s="31">
        <f t="shared" si="2"/>
        <v>37.76503352</v>
      </c>
    </row>
    <row r="14">
      <c r="A14" s="25" t="s">
        <v>48</v>
      </c>
      <c r="B14" s="26">
        <v>1.2457452E7</v>
      </c>
      <c r="C14" s="26">
        <v>632223.0</v>
      </c>
      <c r="D14" s="31">
        <f t="shared" si="1"/>
        <v>5.075058688</v>
      </c>
      <c r="E14" s="26">
        <v>1.2098018E7</v>
      </c>
      <c r="F14" s="26">
        <v>5270504.0</v>
      </c>
      <c r="G14" s="31">
        <f t="shared" si="2"/>
        <v>43.56502032</v>
      </c>
    </row>
    <row r="15">
      <c r="A15" s="25" t="s">
        <v>50</v>
      </c>
      <c r="B15" s="26">
        <v>2347582.0</v>
      </c>
      <c r="C15" s="26">
        <v>43448.0</v>
      </c>
      <c r="D15" s="31">
        <f t="shared" si="1"/>
        <v>1.850755373</v>
      </c>
      <c r="E15" s="26">
        <v>1905284.0</v>
      </c>
      <c r="F15" s="26">
        <v>553354.0</v>
      </c>
      <c r="G15" s="31">
        <f t="shared" si="2"/>
        <v>29.04312428</v>
      </c>
    </row>
    <row r="16">
      <c r="A16" s="25" t="s">
        <v>51</v>
      </c>
      <c r="B16" s="26">
        <v>4528646.0</v>
      </c>
      <c r="C16" s="26">
        <v>397485.0</v>
      </c>
      <c r="D16" s="31">
        <f t="shared" si="1"/>
        <v>8.777126762</v>
      </c>
      <c r="E16" s="26">
        <v>3580110.0</v>
      </c>
      <c r="F16" s="26">
        <v>867996.0</v>
      </c>
      <c r="G16" s="31">
        <f t="shared" si="2"/>
        <v>24.24495337</v>
      </c>
    </row>
    <row r="17">
      <c r="A17" s="25" t="s">
        <v>53</v>
      </c>
      <c r="B17" s="26">
        <v>6087553.0</v>
      </c>
      <c r="C17" s="26">
        <v>55394.0</v>
      </c>
      <c r="D17" s="31">
        <f t="shared" si="1"/>
        <v>0.9099551166</v>
      </c>
      <c r="E17" s="26">
        <v>4997303.0</v>
      </c>
      <c r="F17" s="26">
        <v>1442054.0</v>
      </c>
      <c r="G17" s="31">
        <f t="shared" si="2"/>
        <v>28.85664527</v>
      </c>
    </row>
    <row r="18">
      <c r="A18" s="25" t="s">
        <v>54</v>
      </c>
      <c r="B18" s="26">
        <v>6058752.0</v>
      </c>
      <c r="C18" s="26">
        <v>58091.0</v>
      </c>
      <c r="D18" s="31">
        <f t="shared" si="1"/>
        <v>0.9587948145</v>
      </c>
      <c r="E18" s="26">
        <v>5303296.0</v>
      </c>
      <c r="F18" s="26">
        <v>2104481.0</v>
      </c>
      <c r="G18" s="31">
        <f t="shared" si="2"/>
        <v>39.68251065</v>
      </c>
    </row>
    <row r="19">
      <c r="A19" s="25" t="s">
        <v>56</v>
      </c>
      <c r="B19" s="26">
        <v>3529248.0</v>
      </c>
      <c r="C19" s="26">
        <v>81644.0</v>
      </c>
      <c r="D19" s="31">
        <f t="shared" si="1"/>
        <v>2.313354006</v>
      </c>
      <c r="E19" s="26">
        <v>2707991.0</v>
      </c>
      <c r="F19" s="26">
        <v>754685.0</v>
      </c>
      <c r="G19" s="31">
        <f t="shared" si="2"/>
        <v>27.86881493</v>
      </c>
    </row>
    <row r="20">
      <c r="A20" s="25" t="s">
        <v>57</v>
      </c>
      <c r="B20" s="26">
        <v>2856878.0</v>
      </c>
      <c r="C20" s="26">
        <v>69878.0</v>
      </c>
      <c r="D20" s="31">
        <f t="shared" si="1"/>
        <v>2.44595674</v>
      </c>
      <c r="E20" s="26">
        <v>2017060.0</v>
      </c>
      <c r="F20" s="26">
        <v>424965.0</v>
      </c>
      <c r="G20" s="31">
        <f t="shared" si="2"/>
        <v>21.06853539</v>
      </c>
    </row>
    <row r="21" ht="15.75" customHeight="1">
      <c r="A21" s="25" t="s">
        <v>59</v>
      </c>
      <c r="B21" s="26">
        <v>3802692.0</v>
      </c>
      <c r="C21" s="26">
        <v>47727.0</v>
      </c>
      <c r="D21" s="31">
        <f t="shared" si="1"/>
        <v>1.255084556</v>
      </c>
      <c r="E21" s="26">
        <v>3199745.0</v>
      </c>
      <c r="F21" s="26">
        <v>984918.0</v>
      </c>
      <c r="G21" s="31">
        <f t="shared" si="2"/>
        <v>30.78114037</v>
      </c>
    </row>
    <row r="22" ht="15.75" customHeight="1">
      <c r="A22" s="25" t="s">
        <v>60</v>
      </c>
      <c r="B22" s="26">
        <v>4022390.0</v>
      </c>
      <c r="C22" s="26">
        <v>171262.0</v>
      </c>
      <c r="D22" s="31">
        <f t="shared" si="1"/>
        <v>4.257717427</v>
      </c>
      <c r="E22" s="26">
        <v>3037809.0</v>
      </c>
      <c r="F22" s="26">
        <v>870026.0</v>
      </c>
      <c r="G22" s="31">
        <f t="shared" si="2"/>
        <v>28.63991778</v>
      </c>
    </row>
    <row r="23" ht="15.75" customHeight="1">
      <c r="A23" s="25" t="s">
        <v>63</v>
      </c>
      <c r="B23" s="26">
        <v>3705981.0</v>
      </c>
      <c r="C23" s="26">
        <v>21012.0</v>
      </c>
      <c r="D23" s="31">
        <f t="shared" si="1"/>
        <v>0.5669753838</v>
      </c>
      <c r="E23" s="26">
        <v>2416167.0</v>
      </c>
      <c r="F23" s="26">
        <v>714054.0</v>
      </c>
      <c r="G23" s="31">
        <f t="shared" si="2"/>
        <v>29.55317244</v>
      </c>
    </row>
    <row r="24" ht="15.75" customHeight="1">
      <c r="A24" s="25" t="s">
        <v>64</v>
      </c>
      <c r="B24" s="26">
        <v>2050203.0</v>
      </c>
      <c r="C24" s="26">
        <v>19212.0</v>
      </c>
      <c r="D24" s="31">
        <f t="shared" si="1"/>
        <v>0.9370779381</v>
      </c>
      <c r="E24" s="26">
        <v>1709641.0</v>
      </c>
      <c r="F24" s="26">
        <v>415163.0</v>
      </c>
      <c r="G24" s="31">
        <f t="shared" si="2"/>
        <v>24.28363616</v>
      </c>
    </row>
    <row r="25" ht="15.75" customHeight="1">
      <c r="A25" s="25" t="s">
        <v>65</v>
      </c>
      <c r="B25" s="26">
        <v>2943119.0</v>
      </c>
      <c r="C25" s="26">
        <v>21969.0</v>
      </c>
      <c r="D25" s="31">
        <f t="shared" si="1"/>
        <v>0.7464529977</v>
      </c>
      <c r="E25" s="26">
        <v>2609448.0</v>
      </c>
      <c r="F25" s="26">
        <v>370142.0</v>
      </c>
      <c r="G25" s="31">
        <f t="shared" si="2"/>
        <v>14.1846858</v>
      </c>
    </row>
    <row r="26" ht="15.75" customHeight="1">
      <c r="A26" s="28"/>
      <c r="B26" s="28"/>
      <c r="C26" s="28"/>
      <c r="D26" s="28"/>
      <c r="E26" s="28"/>
      <c r="F26" s="28"/>
      <c r="G26" s="28"/>
    </row>
    <row r="27" ht="15.75" customHeight="1">
      <c r="A27" s="9"/>
      <c r="B27" s="9"/>
      <c r="C27" s="9"/>
      <c r="D27" s="9"/>
      <c r="E27" s="9"/>
      <c r="F27" s="9"/>
      <c r="G27" s="9"/>
    </row>
    <row r="28" ht="15.75" customHeight="1">
      <c r="A28" s="29" t="s">
        <v>69</v>
      </c>
      <c r="B28" s="29"/>
      <c r="C28" s="29"/>
      <c r="D28" s="29"/>
      <c r="E28" s="29"/>
      <c r="F28" s="29"/>
      <c r="G28" s="29"/>
    </row>
    <row r="29" ht="15.75" customHeight="1">
      <c r="A29" s="29" t="s">
        <v>72</v>
      </c>
      <c r="B29" s="29"/>
      <c r="C29" s="29"/>
      <c r="D29" s="29"/>
      <c r="E29" s="29"/>
      <c r="F29" s="29"/>
      <c r="G29" s="29"/>
    </row>
    <row r="30" ht="15.75" customHeight="1">
      <c r="A30" s="29" t="s">
        <v>355</v>
      </c>
      <c r="B30" s="29"/>
      <c r="C30" s="29"/>
      <c r="D30" s="29"/>
      <c r="E30" s="29"/>
      <c r="F30" s="29"/>
      <c r="G30" s="29"/>
    </row>
    <row r="31" ht="15.75" customHeight="1">
      <c r="A31" s="29" t="s">
        <v>356</v>
      </c>
      <c r="B31" s="29"/>
      <c r="C31" s="29"/>
      <c r="D31" s="29"/>
      <c r="E31" s="29"/>
      <c r="F31" s="29"/>
      <c r="G31" s="29"/>
    </row>
    <row r="32" ht="15.75" customHeight="1">
      <c r="A32" s="32" t="s">
        <v>76</v>
      </c>
    </row>
    <row r="33" ht="15.75" customHeight="1">
      <c r="A33" s="32"/>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A32:G32"/>
    <mergeCell ref="A33:G33"/>
    <mergeCell ref="A4:A6"/>
    <mergeCell ref="B4:D4"/>
    <mergeCell ref="E4:G4"/>
    <mergeCell ref="B5:B6"/>
    <mergeCell ref="C5:D5"/>
    <mergeCell ref="E5:E6"/>
    <mergeCell ref="F5:G5"/>
  </mergeCells>
  <hyperlinks>
    <hyperlink display="BACK TO LIST" location="LIST!A1" ref="A1"/>
  </hyperlinks>
  <printOptions/>
  <pageMargins bottom="0.75" footer="0.0" header="0.0" left="0.7" right="0.7" top="0.75"/>
  <pageSetup paperSize="9" scale="63" orientation="portrait"/>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7"/>
    <pageSetUpPr/>
  </sheetPr>
  <sheetViews>
    <sheetView workbookViewId="0"/>
  </sheetViews>
  <sheetFormatPr customHeight="1" defaultColWidth="12.63" defaultRowHeight="15.0"/>
  <cols>
    <col customWidth="1" min="1" max="1" width="39.0"/>
    <col customWidth="1" min="2" max="2" width="18.13"/>
    <col customWidth="1" min="3" max="17" width="14.0"/>
    <col customWidth="1" min="18" max="26" width="8.63"/>
  </cols>
  <sheetData>
    <row r="1">
      <c r="A1" s="5" t="s">
        <v>1</v>
      </c>
    </row>
    <row r="2" ht="15.0" customHeight="1">
      <c r="A2" s="6" t="s">
        <v>359</v>
      </c>
      <c r="B2" s="6"/>
      <c r="C2" s="6"/>
      <c r="D2" s="6"/>
      <c r="E2" s="53"/>
      <c r="F2" s="53"/>
      <c r="G2" s="53"/>
      <c r="H2" s="53"/>
      <c r="K2" s="53"/>
      <c r="L2" s="53"/>
      <c r="M2" s="53"/>
      <c r="N2" s="53"/>
      <c r="O2" s="53"/>
      <c r="P2" s="53"/>
      <c r="Q2" s="53"/>
    </row>
    <row r="3">
      <c r="A3" s="8"/>
      <c r="B3" s="9"/>
      <c r="C3" s="9"/>
      <c r="D3" s="9"/>
      <c r="E3" s="9"/>
      <c r="F3" s="9"/>
      <c r="G3" s="9"/>
      <c r="H3" s="9"/>
      <c r="I3" s="9"/>
      <c r="J3" s="9"/>
      <c r="K3" s="9"/>
      <c r="L3" s="9"/>
      <c r="M3" s="9"/>
      <c r="N3" s="9"/>
      <c r="O3" s="9"/>
      <c r="P3" s="9"/>
      <c r="Q3" s="9"/>
    </row>
    <row r="4">
      <c r="A4" s="8"/>
      <c r="B4" s="9"/>
      <c r="C4" s="9"/>
      <c r="D4" s="9"/>
      <c r="E4" s="9"/>
      <c r="F4" s="9"/>
      <c r="G4" s="9"/>
      <c r="H4" s="9"/>
      <c r="I4" s="9"/>
      <c r="J4" s="9"/>
      <c r="K4" s="9"/>
      <c r="L4" s="9"/>
      <c r="M4" s="9"/>
      <c r="N4" s="9"/>
      <c r="O4" s="9"/>
      <c r="P4" s="9"/>
      <c r="Q4" s="9"/>
    </row>
    <row r="5" ht="15.0" customHeight="1">
      <c r="A5" s="10" t="s">
        <v>13</v>
      </c>
      <c r="B5" s="21" t="s">
        <v>360</v>
      </c>
      <c r="C5" s="42" t="s">
        <v>361</v>
      </c>
      <c r="D5" s="14"/>
      <c r="E5" s="14"/>
      <c r="F5" s="14"/>
      <c r="G5" s="14"/>
      <c r="H5" s="14"/>
      <c r="I5" s="14"/>
      <c r="J5" s="14"/>
      <c r="K5" s="14"/>
      <c r="L5" s="14"/>
      <c r="M5" s="14"/>
      <c r="N5" s="14"/>
      <c r="O5" s="14"/>
      <c r="P5" s="15"/>
      <c r="Q5" s="9"/>
    </row>
    <row r="6" ht="45.0" customHeight="1">
      <c r="A6" s="17"/>
      <c r="B6" s="17"/>
      <c r="C6" s="13" t="s">
        <v>362</v>
      </c>
      <c r="D6" s="15"/>
      <c r="E6" s="13" t="s">
        <v>363</v>
      </c>
      <c r="F6" s="15"/>
      <c r="G6" s="13" t="s">
        <v>364</v>
      </c>
      <c r="H6" s="15"/>
      <c r="I6" s="13" t="s">
        <v>365</v>
      </c>
      <c r="J6" s="15"/>
      <c r="K6" s="13" t="s">
        <v>366</v>
      </c>
      <c r="L6" s="15"/>
      <c r="M6" s="13" t="s">
        <v>367</v>
      </c>
      <c r="N6" s="15"/>
      <c r="O6" s="13" t="s">
        <v>170</v>
      </c>
      <c r="P6" s="15"/>
      <c r="Q6" s="55"/>
    </row>
    <row r="7">
      <c r="A7" s="18"/>
      <c r="B7" s="18"/>
      <c r="C7" s="24" t="s">
        <v>37</v>
      </c>
      <c r="D7" s="24" t="s">
        <v>39</v>
      </c>
      <c r="E7" s="24" t="s">
        <v>37</v>
      </c>
      <c r="F7" s="24" t="s">
        <v>39</v>
      </c>
      <c r="G7" s="24" t="s">
        <v>37</v>
      </c>
      <c r="H7" s="24" t="s">
        <v>39</v>
      </c>
      <c r="I7" s="24" t="s">
        <v>37</v>
      </c>
      <c r="J7" s="24" t="s">
        <v>39</v>
      </c>
      <c r="K7" s="24" t="s">
        <v>37</v>
      </c>
      <c r="L7" s="24" t="s">
        <v>39</v>
      </c>
      <c r="M7" s="24" t="s">
        <v>37</v>
      </c>
      <c r="N7" s="24" t="s">
        <v>39</v>
      </c>
      <c r="O7" s="24" t="s">
        <v>37</v>
      </c>
      <c r="P7" s="24" t="s">
        <v>39</v>
      </c>
      <c r="Q7" s="55"/>
    </row>
    <row r="8">
      <c r="A8" s="16"/>
      <c r="B8" s="20"/>
      <c r="C8" s="20"/>
      <c r="D8" s="20"/>
      <c r="E8" s="20"/>
      <c r="F8" s="20"/>
      <c r="G8" s="20"/>
      <c r="H8" s="20"/>
      <c r="I8" s="20"/>
      <c r="J8" s="20"/>
      <c r="K8" s="20"/>
      <c r="L8" s="20"/>
      <c r="M8" s="20"/>
      <c r="N8" s="20"/>
      <c r="O8" s="20"/>
      <c r="P8" s="20"/>
      <c r="Q8" s="56"/>
    </row>
    <row r="9">
      <c r="A9" s="22" t="s">
        <v>33</v>
      </c>
      <c r="B9" s="23">
        <v>6078930.0</v>
      </c>
      <c r="C9" s="23">
        <v>937530.0</v>
      </c>
      <c r="D9" s="27">
        <f t="shared" ref="D9:D26" si="1">(C9/$B9)*100</f>
        <v>15.42261549</v>
      </c>
      <c r="E9" s="23">
        <v>416318.0</v>
      </c>
      <c r="F9" s="27">
        <f t="shared" ref="F9:F26" si="2">(E9/$B9)*100</f>
        <v>6.848540779</v>
      </c>
      <c r="G9" s="23">
        <v>415983.0</v>
      </c>
      <c r="H9" s="27">
        <f t="shared" ref="H9:H26" si="3">(G9/$B9)*100</f>
        <v>6.843029941</v>
      </c>
      <c r="I9" s="23">
        <v>729714.0</v>
      </c>
      <c r="J9" s="27">
        <f t="shared" ref="J9:J26" si="4">(I9/$B9)*100</f>
        <v>12.00398754</v>
      </c>
      <c r="K9" s="23">
        <v>901204.0</v>
      </c>
      <c r="L9" s="27">
        <f t="shared" ref="L9:L26" si="5">(K9/$B9)*100</f>
        <v>14.82504322</v>
      </c>
      <c r="M9" s="23">
        <v>308824.0</v>
      </c>
      <c r="N9" s="27">
        <f t="shared" ref="N9:N26" si="6">(M9/$B9)*100</f>
        <v>5.08023616</v>
      </c>
      <c r="O9" s="23">
        <v>461862.0</v>
      </c>
      <c r="P9" s="27">
        <f t="shared" ref="P9:P26" si="7">(O9/$B9)*100</f>
        <v>7.597751578</v>
      </c>
      <c r="Q9" s="57"/>
    </row>
    <row r="10">
      <c r="A10" s="25" t="s">
        <v>38</v>
      </c>
      <c r="B10" s="26">
        <v>878977.0</v>
      </c>
      <c r="C10" s="26">
        <v>155993.0</v>
      </c>
      <c r="D10" s="31">
        <f t="shared" si="1"/>
        <v>17.74710829</v>
      </c>
      <c r="E10" s="26">
        <v>74958.0</v>
      </c>
      <c r="F10" s="31">
        <f t="shared" si="2"/>
        <v>8.527868192</v>
      </c>
      <c r="G10" s="26">
        <v>91256.0</v>
      </c>
      <c r="H10" s="31">
        <f t="shared" si="3"/>
        <v>10.38206916</v>
      </c>
      <c r="I10" s="26">
        <v>213835.0</v>
      </c>
      <c r="J10" s="31">
        <f t="shared" si="4"/>
        <v>24.32771278</v>
      </c>
      <c r="K10" s="26">
        <v>214695.0</v>
      </c>
      <c r="L10" s="31">
        <f t="shared" si="5"/>
        <v>24.4255538</v>
      </c>
      <c r="M10" s="26">
        <v>53409.0</v>
      </c>
      <c r="N10" s="31">
        <f t="shared" si="6"/>
        <v>6.076268207</v>
      </c>
      <c r="O10" s="26">
        <v>57960.0</v>
      </c>
      <c r="P10" s="31">
        <f t="shared" si="7"/>
        <v>6.594029195</v>
      </c>
      <c r="Q10" s="58"/>
    </row>
    <row r="11">
      <c r="A11" s="25" t="s">
        <v>41</v>
      </c>
      <c r="B11" s="26">
        <v>97435.0</v>
      </c>
      <c r="C11" s="26">
        <v>23960.0</v>
      </c>
      <c r="D11" s="31">
        <f t="shared" si="1"/>
        <v>24.59075281</v>
      </c>
      <c r="E11" s="26">
        <v>5778.0</v>
      </c>
      <c r="F11" s="31">
        <f t="shared" si="2"/>
        <v>5.930107251</v>
      </c>
      <c r="G11" s="26">
        <v>6016.0</v>
      </c>
      <c r="H11" s="31">
        <f t="shared" si="3"/>
        <v>6.174372659</v>
      </c>
      <c r="I11" s="26">
        <v>18688.0</v>
      </c>
      <c r="J11" s="31">
        <f t="shared" si="4"/>
        <v>19.17996613</v>
      </c>
      <c r="K11" s="26">
        <v>9174.0</v>
      </c>
      <c r="L11" s="31">
        <f t="shared" si="5"/>
        <v>9.415507774</v>
      </c>
      <c r="M11" s="26">
        <v>9934.0</v>
      </c>
      <c r="N11" s="31">
        <f t="shared" si="6"/>
        <v>10.19551496</v>
      </c>
      <c r="O11" s="26">
        <v>19753.0</v>
      </c>
      <c r="P11" s="31">
        <f t="shared" si="7"/>
        <v>20.27300251</v>
      </c>
      <c r="Q11" s="58"/>
    </row>
    <row r="12">
      <c r="A12" s="25" t="s">
        <v>43</v>
      </c>
      <c r="B12" s="26">
        <v>161093.0</v>
      </c>
      <c r="C12" s="26">
        <v>24517.0</v>
      </c>
      <c r="D12" s="31">
        <f t="shared" si="1"/>
        <v>15.21915912</v>
      </c>
      <c r="E12" s="26">
        <v>7014.0</v>
      </c>
      <c r="F12" s="31">
        <f t="shared" si="2"/>
        <v>4.354006692</v>
      </c>
      <c r="G12" s="26">
        <v>28601.0</v>
      </c>
      <c r="H12" s="31">
        <f t="shared" si="3"/>
        <v>17.75434066</v>
      </c>
      <c r="I12" s="26">
        <v>16742.0</v>
      </c>
      <c r="J12" s="31">
        <f t="shared" si="4"/>
        <v>10.3927545</v>
      </c>
      <c r="K12" s="26">
        <v>19101.0</v>
      </c>
      <c r="L12" s="31">
        <f t="shared" si="5"/>
        <v>11.85712601</v>
      </c>
      <c r="M12" s="26">
        <v>24995.0</v>
      </c>
      <c r="N12" s="31">
        <f t="shared" si="6"/>
        <v>15.51588213</v>
      </c>
      <c r="O12" s="26">
        <v>6764.0</v>
      </c>
      <c r="P12" s="31">
        <f t="shared" si="7"/>
        <v>4.198816833</v>
      </c>
      <c r="Q12" s="58"/>
    </row>
    <row r="13">
      <c r="A13" s="25" t="s">
        <v>44</v>
      </c>
      <c r="B13" s="26">
        <v>466839.0</v>
      </c>
      <c r="C13" s="26">
        <v>31847.0</v>
      </c>
      <c r="D13" s="31">
        <f t="shared" si="1"/>
        <v>6.821837936</v>
      </c>
      <c r="E13" s="26">
        <v>17363.0</v>
      </c>
      <c r="F13" s="31">
        <f t="shared" si="2"/>
        <v>3.719269384</v>
      </c>
      <c r="G13" s="26">
        <v>9452.0</v>
      </c>
      <c r="H13" s="31">
        <f t="shared" si="3"/>
        <v>2.024680886</v>
      </c>
      <c r="I13" s="26">
        <v>10600.0</v>
      </c>
      <c r="J13" s="31">
        <f t="shared" si="4"/>
        <v>2.270590075</v>
      </c>
      <c r="K13" s="26">
        <v>9288.0</v>
      </c>
      <c r="L13" s="31">
        <f t="shared" si="5"/>
        <v>1.989551002</v>
      </c>
      <c r="M13" s="26">
        <v>11107.0</v>
      </c>
      <c r="N13" s="31">
        <f t="shared" si="6"/>
        <v>2.379192827</v>
      </c>
      <c r="O13" s="26">
        <v>17748.0</v>
      </c>
      <c r="P13" s="31">
        <f t="shared" si="7"/>
        <v>3.801738929</v>
      </c>
      <c r="Q13" s="58"/>
    </row>
    <row r="14">
      <c r="A14" s="25" t="s">
        <v>46</v>
      </c>
      <c r="B14" s="26">
        <v>1006290.0</v>
      </c>
      <c r="C14" s="26">
        <v>103288.0</v>
      </c>
      <c r="D14" s="31">
        <f t="shared" si="1"/>
        <v>10.26423794</v>
      </c>
      <c r="E14" s="26">
        <v>41227.0</v>
      </c>
      <c r="F14" s="31">
        <f t="shared" si="2"/>
        <v>4.096930308</v>
      </c>
      <c r="G14" s="26">
        <v>41668.0</v>
      </c>
      <c r="H14" s="31">
        <f t="shared" si="3"/>
        <v>4.140754653</v>
      </c>
      <c r="I14" s="26">
        <v>117263.0</v>
      </c>
      <c r="J14" s="31">
        <f t="shared" si="4"/>
        <v>11.65300261</v>
      </c>
      <c r="K14" s="26">
        <v>167716.0</v>
      </c>
      <c r="L14" s="31">
        <f t="shared" si="5"/>
        <v>16.66676604</v>
      </c>
      <c r="M14" s="26">
        <v>45445.0</v>
      </c>
      <c r="N14" s="31">
        <f t="shared" si="6"/>
        <v>4.51609377</v>
      </c>
      <c r="O14" s="26">
        <v>155690.0</v>
      </c>
      <c r="P14" s="31">
        <f t="shared" si="7"/>
        <v>15.47168311</v>
      </c>
      <c r="Q14" s="58"/>
    </row>
    <row r="15">
      <c r="A15" s="25" t="s">
        <v>48</v>
      </c>
      <c r="B15" s="26">
        <v>822375.0</v>
      </c>
      <c r="C15" s="26">
        <v>156987.0</v>
      </c>
      <c r="D15" s="31">
        <f t="shared" si="1"/>
        <v>19.08946648</v>
      </c>
      <c r="E15" s="26">
        <v>85896.0</v>
      </c>
      <c r="F15" s="31">
        <f t="shared" si="2"/>
        <v>10.44487004</v>
      </c>
      <c r="G15" s="26">
        <v>92822.0</v>
      </c>
      <c r="H15" s="31">
        <f t="shared" si="3"/>
        <v>11.2870649</v>
      </c>
      <c r="I15" s="26">
        <v>129569.0</v>
      </c>
      <c r="J15" s="31">
        <f t="shared" si="4"/>
        <v>15.75546436</v>
      </c>
      <c r="K15" s="26">
        <v>176617.0</v>
      </c>
      <c r="L15" s="31">
        <f t="shared" si="5"/>
        <v>21.47645539</v>
      </c>
      <c r="M15" s="26">
        <v>39032.0</v>
      </c>
      <c r="N15" s="31">
        <f t="shared" si="6"/>
        <v>4.74625323</v>
      </c>
      <c r="O15" s="26">
        <v>39425.0</v>
      </c>
      <c r="P15" s="31">
        <f t="shared" si="7"/>
        <v>4.794041648</v>
      </c>
      <c r="Q15" s="58"/>
    </row>
    <row r="16">
      <c r="A16" s="25" t="s">
        <v>50</v>
      </c>
      <c r="B16" s="26">
        <v>88224.0</v>
      </c>
      <c r="C16" s="26">
        <v>26747.0</v>
      </c>
      <c r="D16" s="31">
        <f t="shared" si="1"/>
        <v>30.31714726</v>
      </c>
      <c r="E16" s="26">
        <v>5234.0</v>
      </c>
      <c r="F16" s="31">
        <f t="shared" si="2"/>
        <v>5.932626043</v>
      </c>
      <c r="G16" s="26">
        <v>7987.0</v>
      </c>
      <c r="H16" s="31">
        <f t="shared" si="3"/>
        <v>9.053092129</v>
      </c>
      <c r="I16" s="26">
        <v>8120.0</v>
      </c>
      <c r="J16" s="31">
        <f t="shared" si="4"/>
        <v>9.203844759</v>
      </c>
      <c r="K16" s="26">
        <v>4113.0</v>
      </c>
      <c r="L16" s="31">
        <f t="shared" si="5"/>
        <v>4.661996736</v>
      </c>
      <c r="M16" s="26">
        <v>2208.0</v>
      </c>
      <c r="N16" s="31">
        <f t="shared" si="6"/>
        <v>2.502720348</v>
      </c>
      <c r="O16" s="26">
        <v>9839.0</v>
      </c>
      <c r="P16" s="31">
        <f t="shared" si="7"/>
        <v>11.15229416</v>
      </c>
      <c r="Q16" s="58"/>
    </row>
    <row r="17">
      <c r="A17" s="25" t="s">
        <v>51</v>
      </c>
      <c r="B17" s="26">
        <v>403048.0</v>
      </c>
      <c r="C17" s="26">
        <v>77910.0</v>
      </c>
      <c r="D17" s="31">
        <f t="shared" si="1"/>
        <v>19.33020385</v>
      </c>
      <c r="E17" s="26">
        <v>29837.0</v>
      </c>
      <c r="F17" s="31">
        <f t="shared" si="2"/>
        <v>7.402840356</v>
      </c>
      <c r="G17" s="26">
        <v>22439.0</v>
      </c>
      <c r="H17" s="31">
        <f t="shared" si="3"/>
        <v>5.567326969</v>
      </c>
      <c r="I17" s="26">
        <v>8600.0</v>
      </c>
      <c r="J17" s="31">
        <f t="shared" si="4"/>
        <v>2.133740894</v>
      </c>
      <c r="K17" s="26">
        <v>19017.0</v>
      </c>
      <c r="L17" s="31">
        <f t="shared" si="5"/>
        <v>4.71829658</v>
      </c>
      <c r="M17" s="26">
        <v>10519.0</v>
      </c>
      <c r="N17" s="31">
        <f t="shared" si="6"/>
        <v>2.609862845</v>
      </c>
      <c r="O17" s="26">
        <v>57218.0</v>
      </c>
      <c r="P17" s="31">
        <f t="shared" si="7"/>
        <v>14.19632401</v>
      </c>
      <c r="Q17" s="58"/>
    </row>
    <row r="18">
      <c r="A18" s="25" t="s">
        <v>53</v>
      </c>
      <c r="B18" s="26">
        <v>277847.0</v>
      </c>
      <c r="C18" s="26">
        <v>33828.0</v>
      </c>
      <c r="D18" s="31">
        <f t="shared" si="1"/>
        <v>12.17504598</v>
      </c>
      <c r="E18" s="26">
        <v>35261.0</v>
      </c>
      <c r="F18" s="31">
        <f t="shared" si="2"/>
        <v>12.69079745</v>
      </c>
      <c r="G18" s="26">
        <v>9079.0</v>
      </c>
      <c r="H18" s="31">
        <f t="shared" si="3"/>
        <v>3.267625708</v>
      </c>
      <c r="I18" s="26">
        <v>20202.0</v>
      </c>
      <c r="J18" s="31">
        <f t="shared" si="4"/>
        <v>7.27090809</v>
      </c>
      <c r="K18" s="26">
        <v>28205.0</v>
      </c>
      <c r="L18" s="31">
        <f t="shared" si="5"/>
        <v>10.1512703</v>
      </c>
      <c r="M18" s="26">
        <v>31192.0</v>
      </c>
      <c r="N18" s="31">
        <f t="shared" si="6"/>
        <v>11.2263224</v>
      </c>
      <c r="O18" s="26">
        <v>15284.0</v>
      </c>
      <c r="P18" s="31">
        <f t="shared" si="7"/>
        <v>5.500869183</v>
      </c>
      <c r="Q18" s="58"/>
    </row>
    <row r="19">
      <c r="A19" s="25" t="s">
        <v>54</v>
      </c>
      <c r="B19" s="26">
        <v>755459.0</v>
      </c>
      <c r="C19" s="26">
        <v>91359.0</v>
      </c>
      <c r="D19" s="31">
        <f t="shared" si="1"/>
        <v>12.09317779</v>
      </c>
      <c r="E19" s="26">
        <v>28931.0</v>
      </c>
      <c r="F19" s="31">
        <f t="shared" si="2"/>
        <v>3.829592341</v>
      </c>
      <c r="G19" s="26">
        <v>20195.0</v>
      </c>
      <c r="H19" s="31">
        <f t="shared" si="3"/>
        <v>2.673209267</v>
      </c>
      <c r="I19" s="26">
        <v>137496.0</v>
      </c>
      <c r="J19" s="31">
        <f t="shared" si="4"/>
        <v>18.20032589</v>
      </c>
      <c r="K19" s="26">
        <v>123744.0</v>
      </c>
      <c r="L19" s="31">
        <f t="shared" si="5"/>
        <v>16.37997562</v>
      </c>
      <c r="M19" s="26">
        <v>26698.0</v>
      </c>
      <c r="N19" s="31">
        <f t="shared" si="6"/>
        <v>3.534010449</v>
      </c>
      <c r="O19" s="26">
        <v>18477.0</v>
      </c>
      <c r="P19" s="31">
        <f t="shared" si="7"/>
        <v>2.445797853</v>
      </c>
      <c r="Q19" s="58"/>
    </row>
    <row r="20">
      <c r="A20" s="25" t="s">
        <v>56</v>
      </c>
      <c r="B20" s="26">
        <v>196098.0</v>
      </c>
      <c r="C20" s="26">
        <v>42722.0</v>
      </c>
      <c r="D20" s="31">
        <f t="shared" si="1"/>
        <v>21.78604575</v>
      </c>
      <c r="E20" s="26">
        <v>13162.0</v>
      </c>
      <c r="F20" s="31">
        <f t="shared" si="2"/>
        <v>6.711950147</v>
      </c>
      <c r="G20" s="26">
        <v>10188.0</v>
      </c>
      <c r="H20" s="31">
        <f t="shared" si="3"/>
        <v>5.195361503</v>
      </c>
      <c r="I20" s="26">
        <v>11291.0</v>
      </c>
      <c r="J20" s="31">
        <f t="shared" si="4"/>
        <v>5.757835368</v>
      </c>
      <c r="K20" s="26">
        <v>31526.0</v>
      </c>
      <c r="L20" s="31">
        <f t="shared" si="5"/>
        <v>16.07665555</v>
      </c>
      <c r="M20" s="26">
        <v>10400.0</v>
      </c>
      <c r="N20" s="31">
        <f t="shared" si="6"/>
        <v>5.303470714</v>
      </c>
      <c r="O20" s="26">
        <v>23918.0</v>
      </c>
      <c r="P20" s="31">
        <f t="shared" si="7"/>
        <v>12.19696274</v>
      </c>
      <c r="Q20" s="58"/>
    </row>
    <row r="21" ht="15.75" customHeight="1">
      <c r="A21" s="25" t="s">
        <v>57</v>
      </c>
      <c r="B21" s="26">
        <v>167498.0</v>
      </c>
      <c r="C21" s="26">
        <v>14231.0</v>
      </c>
      <c r="D21" s="31">
        <f t="shared" si="1"/>
        <v>8.49622085</v>
      </c>
      <c r="E21" s="26">
        <v>20934.0</v>
      </c>
      <c r="F21" s="31">
        <f t="shared" si="2"/>
        <v>12.49805968</v>
      </c>
      <c r="G21" s="26">
        <v>8103.0</v>
      </c>
      <c r="H21" s="31">
        <f t="shared" si="3"/>
        <v>4.837669704</v>
      </c>
      <c r="I21" s="26">
        <v>9113.0</v>
      </c>
      <c r="J21" s="31">
        <f t="shared" si="4"/>
        <v>5.440661978</v>
      </c>
      <c r="K21" s="26">
        <v>19320.0</v>
      </c>
      <c r="L21" s="31">
        <f t="shared" si="5"/>
        <v>11.53446608</v>
      </c>
      <c r="M21" s="26">
        <v>9999.0</v>
      </c>
      <c r="N21" s="31">
        <f t="shared" si="6"/>
        <v>5.969623518</v>
      </c>
      <c r="O21" s="26">
        <v>14261.0</v>
      </c>
      <c r="P21" s="31">
        <f t="shared" si="7"/>
        <v>8.514131512</v>
      </c>
      <c r="Q21" s="58"/>
    </row>
    <row r="22" ht="15.75" customHeight="1">
      <c r="A22" s="25" t="s">
        <v>59</v>
      </c>
      <c r="B22" s="26">
        <v>167565.0</v>
      </c>
      <c r="C22" s="26">
        <v>58813.0</v>
      </c>
      <c r="D22" s="31">
        <f t="shared" si="1"/>
        <v>35.09861845</v>
      </c>
      <c r="E22" s="26">
        <v>21418.0</v>
      </c>
      <c r="F22" s="31">
        <f t="shared" si="2"/>
        <v>12.78190553</v>
      </c>
      <c r="G22" s="26">
        <v>18975.0</v>
      </c>
      <c r="H22" s="31">
        <f t="shared" si="3"/>
        <v>11.32396383</v>
      </c>
      <c r="I22" s="26">
        <v>3421.0</v>
      </c>
      <c r="J22" s="31">
        <f t="shared" si="4"/>
        <v>2.041595799</v>
      </c>
      <c r="K22" s="26">
        <v>38483.0</v>
      </c>
      <c r="L22" s="31">
        <f t="shared" si="5"/>
        <v>22.96601319</v>
      </c>
      <c r="M22" s="26">
        <v>5598.0</v>
      </c>
      <c r="N22" s="31">
        <f t="shared" si="6"/>
        <v>3.340793125</v>
      </c>
      <c r="O22" s="26">
        <v>6095.0</v>
      </c>
      <c r="P22" s="31">
        <f t="shared" si="7"/>
        <v>3.637394444</v>
      </c>
      <c r="Q22" s="58"/>
    </row>
    <row r="23" ht="15.75" customHeight="1">
      <c r="A23" s="25" t="s">
        <v>60</v>
      </c>
      <c r="B23" s="26">
        <v>131820.0</v>
      </c>
      <c r="C23" s="26">
        <v>23315.0</v>
      </c>
      <c r="D23" s="31">
        <f t="shared" si="1"/>
        <v>17.68699742</v>
      </c>
      <c r="E23" s="26">
        <v>1939.0</v>
      </c>
      <c r="F23" s="31">
        <f t="shared" si="2"/>
        <v>1.470945228</v>
      </c>
      <c r="G23" s="26">
        <v>22530.0</v>
      </c>
      <c r="H23" s="31">
        <f t="shared" si="3"/>
        <v>17.09148839</v>
      </c>
      <c r="I23" s="26">
        <v>4511.0</v>
      </c>
      <c r="J23" s="31">
        <f t="shared" si="4"/>
        <v>3.42209073</v>
      </c>
      <c r="K23" s="26">
        <v>14011.0</v>
      </c>
      <c r="L23" s="31">
        <f t="shared" si="5"/>
        <v>10.62888788</v>
      </c>
      <c r="M23" s="26">
        <v>10341.0</v>
      </c>
      <c r="N23" s="31">
        <f t="shared" si="6"/>
        <v>7.844788348</v>
      </c>
      <c r="O23" s="26">
        <v>4122.0</v>
      </c>
      <c r="P23" s="31">
        <f t="shared" si="7"/>
        <v>3.126991352</v>
      </c>
      <c r="Q23" s="58"/>
    </row>
    <row r="24" ht="15.75" customHeight="1">
      <c r="A24" s="25" t="s">
        <v>63</v>
      </c>
      <c r="B24" s="26">
        <v>135354.0</v>
      </c>
      <c r="C24" s="26">
        <v>54536.0</v>
      </c>
      <c r="D24" s="31">
        <f t="shared" si="1"/>
        <v>40.29138407</v>
      </c>
      <c r="E24" s="26">
        <v>13103.0</v>
      </c>
      <c r="F24" s="31">
        <f t="shared" si="2"/>
        <v>9.680541395</v>
      </c>
      <c r="G24" s="26">
        <v>12586.0</v>
      </c>
      <c r="H24" s="31">
        <f t="shared" si="3"/>
        <v>9.29858002</v>
      </c>
      <c r="I24" s="26">
        <v>10340.0</v>
      </c>
      <c r="J24" s="31">
        <f t="shared" si="4"/>
        <v>7.639227507</v>
      </c>
      <c r="K24" s="26">
        <v>14166.0</v>
      </c>
      <c r="L24" s="31">
        <f t="shared" si="5"/>
        <v>10.46588945</v>
      </c>
      <c r="M24" s="26">
        <v>8478.0</v>
      </c>
      <c r="N24" s="31">
        <f t="shared" si="6"/>
        <v>6.263575513</v>
      </c>
      <c r="O24" s="26">
        <v>12735.0</v>
      </c>
      <c r="P24" s="31">
        <f t="shared" si="7"/>
        <v>9.408661731</v>
      </c>
      <c r="Q24" s="58"/>
    </row>
    <row r="25" ht="15.75" customHeight="1">
      <c r="A25" s="25" t="s">
        <v>64</v>
      </c>
      <c r="B25" s="26">
        <v>147261.0</v>
      </c>
      <c r="C25" s="26">
        <v>12309.0</v>
      </c>
      <c r="D25" s="31">
        <f t="shared" si="1"/>
        <v>8.358628557</v>
      </c>
      <c r="E25" s="26">
        <v>6017.0</v>
      </c>
      <c r="F25" s="31">
        <f t="shared" si="2"/>
        <v>4.085942646</v>
      </c>
      <c r="G25" s="26">
        <v>1035.0</v>
      </c>
      <c r="H25" s="31">
        <f t="shared" si="3"/>
        <v>0.7028337442</v>
      </c>
      <c r="I25" s="26">
        <v>7700.0</v>
      </c>
      <c r="J25" s="31">
        <f t="shared" si="4"/>
        <v>5.22881143</v>
      </c>
      <c r="K25" s="26">
        <v>6211.0</v>
      </c>
      <c r="L25" s="31">
        <f t="shared" si="5"/>
        <v>4.217681531</v>
      </c>
      <c r="M25" s="26">
        <v>4769.0</v>
      </c>
      <c r="N25" s="31">
        <f t="shared" si="6"/>
        <v>3.238467755</v>
      </c>
      <c r="O25" s="26">
        <v>2572.0</v>
      </c>
      <c r="P25" s="31">
        <f t="shared" si="7"/>
        <v>1.746558831</v>
      </c>
      <c r="Q25" s="58"/>
    </row>
    <row r="26" ht="15.75" customHeight="1">
      <c r="A26" s="25" t="s">
        <v>65</v>
      </c>
      <c r="B26" s="26">
        <v>175746.0</v>
      </c>
      <c r="C26" s="26">
        <v>5167.0</v>
      </c>
      <c r="D26" s="31">
        <f t="shared" si="1"/>
        <v>2.940038465</v>
      </c>
      <c r="E26" s="26">
        <v>8247.0</v>
      </c>
      <c r="F26" s="31">
        <f t="shared" si="2"/>
        <v>4.692567683</v>
      </c>
      <c r="G26" s="26">
        <v>13050.0</v>
      </c>
      <c r="H26" s="31">
        <f t="shared" si="3"/>
        <v>7.425489058</v>
      </c>
      <c r="I26" s="26">
        <v>2224.0</v>
      </c>
      <c r="J26" s="31">
        <f t="shared" si="4"/>
        <v>1.265462656</v>
      </c>
      <c r="K26" s="26">
        <v>5817.0</v>
      </c>
      <c r="L26" s="31">
        <f t="shared" si="5"/>
        <v>3.30989041</v>
      </c>
      <c r="M26" s="26">
        <v>4700.0</v>
      </c>
      <c r="N26" s="31">
        <f t="shared" si="6"/>
        <v>2.674314067</v>
      </c>
      <c r="O26" s="26">
        <v>0.0</v>
      </c>
      <c r="P26" s="31">
        <f t="shared" si="7"/>
        <v>0</v>
      </c>
      <c r="Q26" s="58"/>
    </row>
    <row r="27" ht="15.75" customHeight="1">
      <c r="A27" s="28"/>
      <c r="B27" s="28"/>
      <c r="C27" s="28"/>
      <c r="D27" s="28"/>
      <c r="E27" s="28"/>
      <c r="F27" s="28"/>
      <c r="G27" s="28"/>
      <c r="H27" s="28"/>
      <c r="I27" s="28"/>
      <c r="J27" s="28"/>
      <c r="K27" s="28"/>
      <c r="L27" s="28"/>
      <c r="M27" s="28"/>
      <c r="N27" s="28"/>
      <c r="O27" s="28"/>
      <c r="P27" s="28"/>
      <c r="Q27" s="60"/>
    </row>
    <row r="28" ht="15.75" customHeight="1">
      <c r="A28" s="9"/>
      <c r="B28" s="9"/>
      <c r="C28" s="9"/>
      <c r="D28" s="9"/>
      <c r="E28" s="9"/>
      <c r="F28" s="9"/>
      <c r="G28" s="9"/>
      <c r="H28" s="9"/>
      <c r="I28" s="9"/>
      <c r="J28" s="9"/>
      <c r="K28" s="9"/>
      <c r="L28" s="9"/>
      <c r="M28" s="9"/>
      <c r="N28" s="9"/>
      <c r="O28" s="9"/>
      <c r="P28" s="9"/>
      <c r="Q28" s="9"/>
    </row>
    <row r="29" ht="15.75" customHeight="1">
      <c r="A29" s="29" t="s">
        <v>69</v>
      </c>
      <c r="B29" s="29"/>
      <c r="C29" s="29"/>
      <c r="D29" s="29"/>
      <c r="E29" s="29"/>
      <c r="F29" s="29"/>
      <c r="G29" s="29"/>
      <c r="H29" s="29"/>
      <c r="I29" s="29"/>
      <c r="J29" s="29"/>
      <c r="K29" s="29"/>
      <c r="L29" s="29"/>
      <c r="M29" s="29"/>
      <c r="N29" s="29"/>
      <c r="O29" s="29"/>
      <c r="P29" s="29"/>
      <c r="Q29" s="29"/>
    </row>
    <row r="30" ht="15.75" customHeight="1">
      <c r="A30" s="29" t="s">
        <v>72</v>
      </c>
      <c r="B30" s="29"/>
      <c r="C30" s="29"/>
      <c r="D30" s="29"/>
      <c r="E30" s="29"/>
      <c r="F30" s="29"/>
      <c r="G30" s="29"/>
      <c r="H30" s="29"/>
      <c r="I30" s="29"/>
      <c r="J30" s="29"/>
      <c r="K30" s="29"/>
      <c r="L30" s="29"/>
      <c r="M30" s="29"/>
      <c r="N30" s="29"/>
      <c r="O30" s="29"/>
      <c r="P30" s="29"/>
      <c r="Q30" s="29"/>
    </row>
    <row r="31" ht="15.75" customHeight="1">
      <c r="A31" s="29" t="s">
        <v>369</v>
      </c>
      <c r="B31" s="29"/>
      <c r="C31" s="29"/>
      <c r="D31" s="29"/>
      <c r="E31" s="29"/>
      <c r="F31" s="29"/>
      <c r="G31" s="29"/>
      <c r="H31" s="29"/>
      <c r="I31" s="29"/>
      <c r="J31" s="29"/>
      <c r="K31" s="29"/>
      <c r="L31" s="29"/>
      <c r="M31" s="29"/>
      <c r="N31" s="29"/>
      <c r="O31" s="29"/>
      <c r="P31" s="29"/>
      <c r="Q31" s="29"/>
    </row>
    <row r="32" ht="15.75" customHeight="1">
      <c r="A32" s="32" t="s">
        <v>76</v>
      </c>
      <c r="M32" s="32"/>
      <c r="N32" s="32"/>
      <c r="O32" s="32"/>
      <c r="P32" s="32"/>
      <c r="Q32" s="32"/>
    </row>
    <row r="33" ht="15.75" customHeight="1">
      <c r="A33" s="32"/>
      <c r="M33" s="32"/>
      <c r="N33" s="32"/>
      <c r="O33" s="32"/>
      <c r="P33" s="32"/>
      <c r="Q33" s="32"/>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K6:L6"/>
    <mergeCell ref="M6:N6"/>
    <mergeCell ref="A32:L32"/>
    <mergeCell ref="A33:L33"/>
    <mergeCell ref="A5:A7"/>
    <mergeCell ref="B5:B7"/>
    <mergeCell ref="C5:P5"/>
    <mergeCell ref="C6:D6"/>
    <mergeCell ref="E6:F6"/>
    <mergeCell ref="G6:H6"/>
    <mergeCell ref="I6:J6"/>
    <mergeCell ref="O6:P6"/>
  </mergeCells>
  <hyperlinks>
    <hyperlink display="BACK TO LIST" location="LIST!A1" ref="A1"/>
  </hyperlinks>
  <printOptions/>
  <pageMargins bottom="0.75" footer="0.0" header="0.0" left="0.7" right="0.7" top="0.75"/>
  <pageSetup paperSize="9" scale="63" orientation="portrait"/>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7"/>
    <pageSetUpPr/>
  </sheetPr>
  <sheetViews>
    <sheetView workbookViewId="0"/>
  </sheetViews>
  <sheetFormatPr customHeight="1" defaultColWidth="12.63" defaultRowHeight="15.0"/>
  <cols>
    <col customWidth="1" min="1" max="1" width="39.0"/>
    <col customWidth="1" min="2" max="2" width="12.0"/>
    <col customWidth="1" min="3" max="3" width="10.88"/>
    <col customWidth="1" min="4" max="4" width="11.75"/>
    <col customWidth="1" min="5" max="5" width="10.88"/>
    <col customWidth="1" min="6" max="6" width="11.75"/>
    <col customWidth="1" min="7" max="7" width="10.88"/>
    <col customWidth="1" min="8" max="8" width="11.75"/>
    <col customWidth="1" min="9" max="9" width="10.88"/>
    <col customWidth="1" min="10" max="10" width="11.75"/>
    <col customWidth="1" min="11" max="11" width="10.88"/>
    <col customWidth="1" min="12" max="12" width="11.75"/>
    <col customWidth="1" min="13" max="13" width="10.88"/>
    <col customWidth="1" min="14" max="14" width="11.75"/>
    <col customWidth="1" min="15" max="15" width="10.88"/>
    <col customWidth="1" min="16" max="16" width="11.75"/>
    <col customWidth="1" min="17" max="17" width="10.88"/>
    <col customWidth="1" min="18" max="18" width="11.75"/>
    <col customWidth="1" min="19" max="19" width="10.88"/>
    <col customWidth="1" min="20" max="20" width="11.75"/>
    <col customWidth="1" min="21" max="21" width="10.88"/>
    <col customWidth="1" min="22" max="22" width="11.75"/>
    <col customWidth="1" min="23" max="23" width="10.88"/>
    <col customWidth="1" min="24" max="24" width="11.75"/>
    <col customWidth="1" min="25" max="25" width="10.88"/>
    <col customWidth="1" min="26" max="26" width="11.75"/>
    <col customWidth="1" min="27" max="27" width="10.88"/>
    <col customWidth="1" min="28" max="28" width="11.75"/>
    <col customWidth="1" min="29" max="29" width="10.88"/>
    <col customWidth="1" min="30" max="30" width="11.75"/>
    <col customWidth="1" min="31" max="31" width="10.88"/>
    <col customWidth="1" min="32" max="32" width="11.75"/>
    <col customWidth="1" min="33" max="33" width="10.88"/>
    <col customWidth="1" min="34" max="34" width="11.75"/>
    <col customWidth="1" min="35" max="35" width="10.88"/>
    <col customWidth="1" min="36" max="36" width="11.75"/>
  </cols>
  <sheetData>
    <row r="1">
      <c r="A1" s="5" t="s">
        <v>1</v>
      </c>
    </row>
    <row r="2" ht="15.0" customHeight="1">
      <c r="A2" s="6" t="s">
        <v>368</v>
      </c>
      <c r="B2" s="6"/>
      <c r="C2" s="6"/>
      <c r="D2" s="6"/>
      <c r="E2" s="53"/>
      <c r="F2" s="53"/>
      <c r="G2" s="53"/>
      <c r="H2" s="53"/>
      <c r="K2" s="53"/>
      <c r="L2" s="53"/>
      <c r="M2" s="53"/>
      <c r="N2" s="53"/>
      <c r="O2" s="53"/>
      <c r="P2" s="53"/>
      <c r="Q2" s="53"/>
    </row>
    <row r="3">
      <c r="A3" s="8"/>
      <c r="B3" s="9"/>
      <c r="C3" s="9"/>
      <c r="D3" s="9"/>
      <c r="E3" s="9"/>
      <c r="F3" s="9"/>
      <c r="G3" s="9"/>
      <c r="H3" s="9"/>
      <c r="I3" s="9"/>
      <c r="J3" s="9"/>
      <c r="K3" s="9"/>
      <c r="L3" s="9"/>
      <c r="M3" s="9"/>
      <c r="N3" s="9"/>
      <c r="O3" s="9"/>
      <c r="P3" s="9"/>
      <c r="Q3" s="9"/>
    </row>
    <row r="4" ht="15.0" customHeight="1">
      <c r="A4" s="10" t="s">
        <v>13</v>
      </c>
      <c r="B4" s="21" t="s">
        <v>370</v>
      </c>
      <c r="C4" s="42" t="s">
        <v>371</v>
      </c>
      <c r="D4" s="14"/>
      <c r="E4" s="14"/>
      <c r="F4" s="14"/>
      <c r="G4" s="14"/>
      <c r="H4" s="14"/>
      <c r="I4" s="14"/>
      <c r="J4" s="14"/>
      <c r="K4" s="14"/>
      <c r="L4" s="14"/>
      <c r="M4" s="14"/>
      <c r="N4" s="14"/>
      <c r="O4" s="14"/>
      <c r="P4" s="14"/>
      <c r="Q4" s="14"/>
      <c r="R4" s="14"/>
      <c r="S4" s="14"/>
      <c r="T4" s="14"/>
      <c r="U4" s="14"/>
      <c r="V4" s="14"/>
      <c r="W4" s="14"/>
      <c r="X4" s="14"/>
      <c r="Y4" s="14"/>
      <c r="Z4" s="14"/>
      <c r="AA4" s="14"/>
      <c r="AB4" s="14"/>
      <c r="AC4" s="14"/>
      <c r="AD4" s="14"/>
      <c r="AE4" s="14"/>
      <c r="AF4" s="14"/>
      <c r="AG4" s="14"/>
      <c r="AH4" s="14"/>
      <c r="AI4" s="14"/>
      <c r="AJ4" s="15"/>
    </row>
    <row r="5" ht="51.75" customHeight="1">
      <c r="A5" s="17"/>
      <c r="B5" s="17"/>
      <c r="C5" s="13" t="s">
        <v>372</v>
      </c>
      <c r="D5" s="15"/>
      <c r="E5" s="13" t="s">
        <v>373</v>
      </c>
      <c r="F5" s="15"/>
      <c r="G5" s="13" t="s">
        <v>374</v>
      </c>
      <c r="H5" s="15"/>
      <c r="I5" s="13" t="s">
        <v>375</v>
      </c>
      <c r="J5" s="15"/>
      <c r="K5" s="13" t="s">
        <v>376</v>
      </c>
      <c r="L5" s="15"/>
      <c r="M5" s="13" t="s">
        <v>377</v>
      </c>
      <c r="N5" s="15"/>
      <c r="O5" s="13" t="s">
        <v>378</v>
      </c>
      <c r="P5" s="15"/>
      <c r="Q5" s="13" t="s">
        <v>379</v>
      </c>
      <c r="R5" s="15"/>
      <c r="S5" s="13" t="s">
        <v>380</v>
      </c>
      <c r="T5" s="15"/>
      <c r="U5" s="13" t="s">
        <v>381</v>
      </c>
      <c r="V5" s="15"/>
      <c r="W5" s="13" t="s">
        <v>382</v>
      </c>
      <c r="X5" s="15"/>
      <c r="Y5" s="13" t="s">
        <v>383</v>
      </c>
      <c r="Z5" s="15"/>
      <c r="AA5" s="13" t="s">
        <v>384</v>
      </c>
      <c r="AB5" s="15"/>
      <c r="AC5" s="13" t="s">
        <v>385</v>
      </c>
      <c r="AD5" s="15"/>
      <c r="AE5" s="13" t="s">
        <v>386</v>
      </c>
      <c r="AF5" s="15"/>
      <c r="AG5" s="13" t="s">
        <v>387</v>
      </c>
      <c r="AH5" s="15"/>
      <c r="AI5" s="13" t="s">
        <v>170</v>
      </c>
      <c r="AJ5" s="15"/>
    </row>
    <row r="6">
      <c r="A6" s="18"/>
      <c r="B6" s="18"/>
      <c r="C6" s="24" t="s">
        <v>37</v>
      </c>
      <c r="D6" s="24" t="s">
        <v>39</v>
      </c>
      <c r="E6" s="24" t="s">
        <v>37</v>
      </c>
      <c r="F6" s="24" t="s">
        <v>39</v>
      </c>
      <c r="G6" s="24" t="s">
        <v>37</v>
      </c>
      <c r="H6" s="24" t="s">
        <v>39</v>
      </c>
      <c r="I6" s="24" t="s">
        <v>37</v>
      </c>
      <c r="J6" s="24" t="s">
        <v>39</v>
      </c>
      <c r="K6" s="24" t="s">
        <v>37</v>
      </c>
      <c r="L6" s="24" t="s">
        <v>39</v>
      </c>
      <c r="M6" s="24" t="s">
        <v>37</v>
      </c>
      <c r="N6" s="24" t="s">
        <v>39</v>
      </c>
      <c r="O6" s="24" t="s">
        <v>37</v>
      </c>
      <c r="P6" s="24" t="s">
        <v>39</v>
      </c>
      <c r="Q6" s="24" t="s">
        <v>37</v>
      </c>
      <c r="R6" s="24" t="s">
        <v>39</v>
      </c>
      <c r="S6" s="24" t="s">
        <v>37</v>
      </c>
      <c r="T6" s="24" t="s">
        <v>39</v>
      </c>
      <c r="U6" s="24" t="s">
        <v>37</v>
      </c>
      <c r="V6" s="24" t="s">
        <v>39</v>
      </c>
      <c r="W6" s="24" t="s">
        <v>37</v>
      </c>
      <c r="X6" s="24" t="s">
        <v>39</v>
      </c>
      <c r="Y6" s="24" t="s">
        <v>37</v>
      </c>
      <c r="Z6" s="24" t="s">
        <v>39</v>
      </c>
      <c r="AA6" s="24" t="s">
        <v>37</v>
      </c>
      <c r="AB6" s="24" t="s">
        <v>39</v>
      </c>
      <c r="AC6" s="24" t="s">
        <v>37</v>
      </c>
      <c r="AD6" s="24" t="s">
        <v>39</v>
      </c>
      <c r="AE6" s="24" t="s">
        <v>37</v>
      </c>
      <c r="AF6" s="24" t="s">
        <v>39</v>
      </c>
      <c r="AG6" s="24" t="s">
        <v>37</v>
      </c>
      <c r="AH6" s="24" t="s">
        <v>39</v>
      </c>
      <c r="AI6" s="24" t="s">
        <v>37</v>
      </c>
      <c r="AJ6" s="24" t="s">
        <v>39</v>
      </c>
    </row>
    <row r="7">
      <c r="A7" s="16"/>
      <c r="B7" s="20"/>
      <c r="C7" s="20"/>
      <c r="D7" s="20"/>
      <c r="E7" s="20"/>
      <c r="F7" s="20"/>
      <c r="G7" s="20"/>
      <c r="H7" s="20"/>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row>
    <row r="8">
      <c r="A8" s="22" t="s">
        <v>33</v>
      </c>
      <c r="B8" s="23">
        <v>937530.0</v>
      </c>
      <c r="C8" s="23">
        <v>31803.0</v>
      </c>
      <c r="D8" s="27">
        <f t="shared" ref="D8:D25" si="1">C8/$B8*100</f>
        <v>3.392211449</v>
      </c>
      <c r="E8" s="23">
        <v>450674.0</v>
      </c>
      <c r="F8" s="27">
        <f t="shared" ref="F8:F25" si="2">E8/$B8*100</f>
        <v>48.07035508</v>
      </c>
      <c r="G8" s="23">
        <v>28758.0</v>
      </c>
      <c r="H8" s="27">
        <f t="shared" ref="H8:H25" si="3">G8/$B8*100</f>
        <v>3.067421843</v>
      </c>
      <c r="I8" s="23">
        <v>21199.0</v>
      </c>
      <c r="J8" s="27">
        <f t="shared" ref="J8:J25" si="4">I8/$B8*100</f>
        <v>2.26115431</v>
      </c>
      <c r="K8" s="23">
        <v>27134.0</v>
      </c>
      <c r="L8" s="27">
        <f t="shared" ref="L8:L25" si="5">K8/$B8*100</f>
        <v>2.894200719</v>
      </c>
      <c r="M8" s="23">
        <v>71203.0</v>
      </c>
      <c r="N8" s="27">
        <f t="shared" ref="N8:N25" si="6">M8/$B8*100</f>
        <v>7.594743635</v>
      </c>
      <c r="O8" s="23">
        <v>197345.0</v>
      </c>
      <c r="P8" s="27">
        <f t="shared" ref="P8:P25" si="7">O8/$B8*100</f>
        <v>21.04945975</v>
      </c>
      <c r="Q8" s="23">
        <v>21782.0</v>
      </c>
      <c r="R8" s="27">
        <f t="shared" ref="R8:R25" si="8">Q8/$B8*100</f>
        <v>2.323338986</v>
      </c>
      <c r="S8" s="23">
        <v>283093.0</v>
      </c>
      <c r="T8" s="27">
        <f t="shared" ref="T8:T25" si="9">S8/$B8*100</f>
        <v>30.19562041</v>
      </c>
      <c r="U8" s="23">
        <v>128827.0</v>
      </c>
      <c r="V8" s="27">
        <f t="shared" ref="V8:V25" si="10">U8/$B8*100</f>
        <v>13.74110695</v>
      </c>
      <c r="W8" s="23">
        <v>12585.0</v>
      </c>
      <c r="X8" s="27">
        <f t="shared" ref="X8:X25" si="11">W8/$B8*100</f>
        <v>1.342357045</v>
      </c>
      <c r="Y8" s="23">
        <v>19907.0</v>
      </c>
      <c r="Z8" s="27">
        <f t="shared" ref="Z8:Z25" si="12">Y8/$B8*100</f>
        <v>2.123345386</v>
      </c>
      <c r="AA8" s="23">
        <v>11336.0</v>
      </c>
      <c r="AB8" s="27">
        <f t="shared" ref="AB8:AB25" si="13">AA8/$B8*100</f>
        <v>1.209134641</v>
      </c>
      <c r="AC8" s="23">
        <v>12534.0</v>
      </c>
      <c r="AD8" s="27">
        <f t="shared" ref="AD8:AD25" si="14">AC8/$B8*100</f>
        <v>1.336917219</v>
      </c>
      <c r="AE8" s="23">
        <v>18865.0</v>
      </c>
      <c r="AF8" s="27">
        <f t="shared" ref="AF8:AF25" si="15">AE8/$B8*100</f>
        <v>2.012202276</v>
      </c>
      <c r="AG8" s="23">
        <v>15302.0</v>
      </c>
      <c r="AH8" s="27">
        <f t="shared" ref="AH8:AH25" si="16">AG8/$B8*100</f>
        <v>1.632161104</v>
      </c>
      <c r="AI8" s="23">
        <v>130141.0</v>
      </c>
      <c r="AJ8" s="27">
        <f t="shared" ref="AJ8:AJ25" si="17">AI8/$B8*100</f>
        <v>13.88126247</v>
      </c>
    </row>
    <row r="9">
      <c r="A9" s="25" t="s">
        <v>38</v>
      </c>
      <c r="B9" s="26">
        <v>155993.0</v>
      </c>
      <c r="C9" s="26">
        <v>8299.0</v>
      </c>
      <c r="D9" s="31">
        <f t="shared" si="1"/>
        <v>5.320110518</v>
      </c>
      <c r="E9" s="26">
        <v>70322.0</v>
      </c>
      <c r="F9" s="31">
        <f t="shared" si="2"/>
        <v>45.08022796</v>
      </c>
      <c r="G9" s="26">
        <v>13578.0</v>
      </c>
      <c r="H9" s="31">
        <f t="shared" si="3"/>
        <v>8.704236729</v>
      </c>
      <c r="I9" s="26">
        <v>8211.0</v>
      </c>
      <c r="J9" s="31">
        <f t="shared" si="4"/>
        <v>5.26369773</v>
      </c>
      <c r="K9" s="26">
        <v>3161.0</v>
      </c>
      <c r="L9" s="31">
        <f t="shared" si="5"/>
        <v>2.026372978</v>
      </c>
      <c r="M9" s="26">
        <v>25556.0</v>
      </c>
      <c r="N9" s="31">
        <f t="shared" si="6"/>
        <v>16.38278641</v>
      </c>
      <c r="O9" s="26">
        <v>27969.0</v>
      </c>
      <c r="P9" s="31">
        <f t="shared" si="7"/>
        <v>17.92965069</v>
      </c>
      <c r="Q9" s="26">
        <v>7633.0</v>
      </c>
      <c r="R9" s="31">
        <f t="shared" si="8"/>
        <v>4.893168283</v>
      </c>
      <c r="S9" s="26">
        <v>37765.0</v>
      </c>
      <c r="T9" s="31">
        <f t="shared" si="9"/>
        <v>24.20941965</v>
      </c>
      <c r="U9" s="26">
        <v>24416.0</v>
      </c>
      <c r="V9" s="31">
        <f t="shared" si="10"/>
        <v>15.65198438</v>
      </c>
      <c r="W9" s="26">
        <v>4921.0</v>
      </c>
      <c r="X9" s="31">
        <f t="shared" si="11"/>
        <v>3.154628733</v>
      </c>
      <c r="Y9" s="26">
        <v>1758.0</v>
      </c>
      <c r="Z9" s="31">
        <f t="shared" si="12"/>
        <v>1.126973646</v>
      </c>
      <c r="AA9" s="26">
        <v>4987.0</v>
      </c>
      <c r="AB9" s="31">
        <f t="shared" si="13"/>
        <v>3.196938324</v>
      </c>
      <c r="AC9" s="26">
        <v>3229.0</v>
      </c>
      <c r="AD9" s="31">
        <f t="shared" si="14"/>
        <v>2.069964678</v>
      </c>
      <c r="AE9" s="26">
        <v>4987.0</v>
      </c>
      <c r="AF9" s="31">
        <f t="shared" si="15"/>
        <v>3.196938324</v>
      </c>
      <c r="AG9" s="26">
        <v>3519.0</v>
      </c>
      <c r="AH9" s="31">
        <f t="shared" si="16"/>
        <v>2.255870456</v>
      </c>
      <c r="AI9" s="26">
        <v>28071.0</v>
      </c>
      <c r="AJ9" s="31">
        <f t="shared" si="17"/>
        <v>17.99503824</v>
      </c>
    </row>
    <row r="10">
      <c r="A10" s="25" t="s">
        <v>41</v>
      </c>
      <c r="B10" s="26">
        <v>23960.0</v>
      </c>
      <c r="C10" s="26">
        <v>562.0</v>
      </c>
      <c r="D10" s="31">
        <f t="shared" si="1"/>
        <v>2.34557596</v>
      </c>
      <c r="E10" s="26">
        <v>16133.0</v>
      </c>
      <c r="F10" s="31">
        <f t="shared" si="2"/>
        <v>67.33305509</v>
      </c>
      <c r="G10" s="26">
        <v>1473.0</v>
      </c>
      <c r="H10" s="31">
        <f t="shared" si="3"/>
        <v>6.147746244</v>
      </c>
      <c r="I10" s="26">
        <v>562.0</v>
      </c>
      <c r="J10" s="31">
        <f t="shared" si="4"/>
        <v>2.34557596</v>
      </c>
      <c r="K10" s="26">
        <v>1179.0</v>
      </c>
      <c r="L10" s="31">
        <f t="shared" si="5"/>
        <v>4.920701169</v>
      </c>
      <c r="M10" s="26">
        <v>2179.0</v>
      </c>
      <c r="N10" s="31">
        <f t="shared" si="6"/>
        <v>9.094323873</v>
      </c>
      <c r="O10" s="26">
        <v>4194.0</v>
      </c>
      <c r="P10" s="31">
        <f t="shared" si="7"/>
        <v>17.50417362</v>
      </c>
      <c r="Q10" s="26">
        <v>0.0</v>
      </c>
      <c r="R10" s="31">
        <f t="shared" si="8"/>
        <v>0</v>
      </c>
      <c r="S10" s="26">
        <v>7540.0</v>
      </c>
      <c r="T10" s="31">
        <f t="shared" si="9"/>
        <v>31.46911519</v>
      </c>
      <c r="U10" s="26">
        <v>2505.0</v>
      </c>
      <c r="V10" s="31">
        <f t="shared" si="10"/>
        <v>10.45492487</v>
      </c>
      <c r="W10" s="26">
        <v>0.0</v>
      </c>
      <c r="X10" s="31">
        <f t="shared" si="11"/>
        <v>0</v>
      </c>
      <c r="Y10" s="26">
        <v>1536.0</v>
      </c>
      <c r="Z10" s="31">
        <f t="shared" si="12"/>
        <v>6.410684474</v>
      </c>
      <c r="AA10" s="26">
        <v>294.0</v>
      </c>
      <c r="AB10" s="31">
        <f t="shared" si="13"/>
        <v>1.227045075</v>
      </c>
      <c r="AC10" s="26">
        <v>617.0</v>
      </c>
      <c r="AD10" s="31">
        <f t="shared" si="14"/>
        <v>2.575125209</v>
      </c>
      <c r="AE10" s="26">
        <v>0.0</v>
      </c>
      <c r="AF10" s="31">
        <f t="shared" si="15"/>
        <v>0</v>
      </c>
      <c r="AG10" s="26">
        <v>0.0</v>
      </c>
      <c r="AH10" s="31">
        <f t="shared" si="16"/>
        <v>0</v>
      </c>
      <c r="AI10" s="26">
        <v>0.0</v>
      </c>
      <c r="AJ10" s="31">
        <f t="shared" si="17"/>
        <v>0</v>
      </c>
    </row>
    <row r="11">
      <c r="A11" s="25" t="s">
        <v>43</v>
      </c>
      <c r="B11" s="26">
        <v>24517.0</v>
      </c>
      <c r="C11" s="26">
        <v>2000.0</v>
      </c>
      <c r="D11" s="31">
        <f t="shared" si="1"/>
        <v>8.157604927</v>
      </c>
      <c r="E11" s="26">
        <v>8357.0</v>
      </c>
      <c r="F11" s="31">
        <f t="shared" si="2"/>
        <v>34.08655219</v>
      </c>
      <c r="G11" s="26">
        <v>0.0</v>
      </c>
      <c r="H11" s="31">
        <f t="shared" si="3"/>
        <v>0</v>
      </c>
      <c r="I11" s="26">
        <v>0.0</v>
      </c>
      <c r="J11" s="31">
        <f t="shared" si="4"/>
        <v>0</v>
      </c>
      <c r="K11" s="26">
        <v>0.0</v>
      </c>
      <c r="L11" s="31">
        <f t="shared" si="5"/>
        <v>0</v>
      </c>
      <c r="M11" s="26">
        <v>0.0</v>
      </c>
      <c r="N11" s="31">
        <f t="shared" si="6"/>
        <v>0</v>
      </c>
      <c r="O11" s="26">
        <v>0.0</v>
      </c>
      <c r="P11" s="31">
        <f t="shared" si="7"/>
        <v>0</v>
      </c>
      <c r="Q11" s="26">
        <v>2951.0</v>
      </c>
      <c r="R11" s="31">
        <f t="shared" si="8"/>
        <v>12.03654607</v>
      </c>
      <c r="S11" s="26">
        <v>19567.0</v>
      </c>
      <c r="T11" s="31">
        <f t="shared" si="9"/>
        <v>79.80992781</v>
      </c>
      <c r="U11" s="26">
        <v>0.0</v>
      </c>
      <c r="V11" s="31">
        <f t="shared" si="10"/>
        <v>0</v>
      </c>
      <c r="W11" s="26">
        <v>0.0</v>
      </c>
      <c r="X11" s="31">
        <f t="shared" si="11"/>
        <v>0</v>
      </c>
      <c r="Y11" s="26">
        <v>0.0</v>
      </c>
      <c r="Z11" s="31">
        <f t="shared" si="12"/>
        <v>0</v>
      </c>
      <c r="AA11" s="26">
        <v>0.0</v>
      </c>
      <c r="AB11" s="31">
        <f t="shared" si="13"/>
        <v>0</v>
      </c>
      <c r="AC11" s="26">
        <v>0.0</v>
      </c>
      <c r="AD11" s="31">
        <f t="shared" si="14"/>
        <v>0</v>
      </c>
      <c r="AE11" s="26">
        <v>0.0</v>
      </c>
      <c r="AF11" s="31">
        <f t="shared" si="15"/>
        <v>0</v>
      </c>
      <c r="AG11" s="26">
        <v>0.0</v>
      </c>
      <c r="AH11" s="31">
        <f t="shared" si="16"/>
        <v>0</v>
      </c>
      <c r="AI11" s="26">
        <v>5406.0</v>
      </c>
      <c r="AJ11" s="31">
        <f t="shared" si="17"/>
        <v>22.05000612</v>
      </c>
    </row>
    <row r="12">
      <c r="A12" s="25" t="s">
        <v>44</v>
      </c>
      <c r="B12" s="26">
        <v>31847.0</v>
      </c>
      <c r="C12" s="26">
        <v>1339.0</v>
      </c>
      <c r="D12" s="31">
        <f t="shared" si="1"/>
        <v>4.204477659</v>
      </c>
      <c r="E12" s="26">
        <v>10316.0</v>
      </c>
      <c r="F12" s="31">
        <f t="shared" si="2"/>
        <v>32.39237605</v>
      </c>
      <c r="G12" s="26">
        <v>2027.0</v>
      </c>
      <c r="H12" s="31">
        <f t="shared" si="3"/>
        <v>6.364806732</v>
      </c>
      <c r="I12" s="26">
        <v>0.0</v>
      </c>
      <c r="J12" s="31">
        <f t="shared" si="4"/>
        <v>0</v>
      </c>
      <c r="K12" s="26">
        <v>0.0</v>
      </c>
      <c r="L12" s="31">
        <f t="shared" si="5"/>
        <v>0</v>
      </c>
      <c r="M12" s="26">
        <v>1779.0</v>
      </c>
      <c r="N12" s="31">
        <f t="shared" si="6"/>
        <v>5.586083462</v>
      </c>
      <c r="O12" s="26">
        <v>0.0</v>
      </c>
      <c r="P12" s="31">
        <f t="shared" si="7"/>
        <v>0</v>
      </c>
      <c r="Q12" s="26">
        <v>3618.0</v>
      </c>
      <c r="R12" s="31">
        <f t="shared" si="8"/>
        <v>11.36056771</v>
      </c>
      <c r="S12" s="26">
        <v>8276.0</v>
      </c>
      <c r="T12" s="31">
        <f t="shared" si="9"/>
        <v>25.98674914</v>
      </c>
      <c r="U12" s="26">
        <v>7115.0</v>
      </c>
      <c r="V12" s="31">
        <f t="shared" si="10"/>
        <v>22.34119383</v>
      </c>
      <c r="W12" s="26">
        <v>2066.0</v>
      </c>
      <c r="X12" s="31">
        <f t="shared" si="11"/>
        <v>6.487267247</v>
      </c>
      <c r="Y12" s="26">
        <v>0.0</v>
      </c>
      <c r="Z12" s="31">
        <f t="shared" si="12"/>
        <v>0</v>
      </c>
      <c r="AA12" s="26">
        <v>2066.0</v>
      </c>
      <c r="AB12" s="31">
        <f t="shared" si="13"/>
        <v>6.487267247</v>
      </c>
      <c r="AC12" s="26">
        <v>0.0</v>
      </c>
      <c r="AD12" s="31">
        <f t="shared" si="14"/>
        <v>0</v>
      </c>
      <c r="AE12" s="26">
        <v>1779.0</v>
      </c>
      <c r="AF12" s="31">
        <f t="shared" si="15"/>
        <v>5.586083462</v>
      </c>
      <c r="AG12" s="26">
        <v>0.0</v>
      </c>
      <c r="AH12" s="31">
        <f t="shared" si="16"/>
        <v>0</v>
      </c>
      <c r="AI12" s="26">
        <v>7404.0</v>
      </c>
      <c r="AJ12" s="31">
        <f t="shared" si="17"/>
        <v>23.24865764</v>
      </c>
    </row>
    <row r="13">
      <c r="A13" s="25" t="s">
        <v>46</v>
      </c>
      <c r="B13" s="26">
        <v>103288.0</v>
      </c>
      <c r="C13" s="26">
        <v>6721.0</v>
      </c>
      <c r="D13" s="31">
        <f t="shared" si="1"/>
        <v>6.507048253</v>
      </c>
      <c r="E13" s="26">
        <v>64439.0</v>
      </c>
      <c r="F13" s="31">
        <f t="shared" si="2"/>
        <v>62.38769267</v>
      </c>
      <c r="G13" s="26">
        <v>5509.0</v>
      </c>
      <c r="H13" s="31">
        <f t="shared" si="3"/>
        <v>5.333630238</v>
      </c>
      <c r="I13" s="26">
        <v>0.0</v>
      </c>
      <c r="J13" s="31">
        <f t="shared" si="4"/>
        <v>0</v>
      </c>
      <c r="K13" s="26">
        <v>2647.0</v>
      </c>
      <c r="L13" s="31">
        <f t="shared" si="5"/>
        <v>2.562737201</v>
      </c>
      <c r="M13" s="26">
        <v>5172.0</v>
      </c>
      <c r="N13" s="31">
        <f t="shared" si="6"/>
        <v>5.007358067</v>
      </c>
      <c r="O13" s="26">
        <v>34636.0</v>
      </c>
      <c r="P13" s="31">
        <f t="shared" si="7"/>
        <v>33.53342111</v>
      </c>
      <c r="Q13" s="26">
        <v>2754.0</v>
      </c>
      <c r="R13" s="31">
        <f t="shared" si="8"/>
        <v>2.666331036</v>
      </c>
      <c r="S13" s="26">
        <v>19886.0</v>
      </c>
      <c r="T13" s="31">
        <f t="shared" si="9"/>
        <v>19.25296259</v>
      </c>
      <c r="U13" s="26">
        <v>29755.0</v>
      </c>
      <c r="V13" s="31">
        <f t="shared" si="10"/>
        <v>28.80779955</v>
      </c>
      <c r="W13" s="26">
        <v>0.0</v>
      </c>
      <c r="X13" s="31">
        <f t="shared" si="11"/>
        <v>0</v>
      </c>
      <c r="Y13" s="26">
        <v>0.0</v>
      </c>
      <c r="Z13" s="31">
        <f t="shared" si="12"/>
        <v>0</v>
      </c>
      <c r="AA13" s="26">
        <v>0.0</v>
      </c>
      <c r="AB13" s="31">
        <f t="shared" si="13"/>
        <v>0</v>
      </c>
      <c r="AC13" s="26">
        <v>0.0</v>
      </c>
      <c r="AD13" s="31">
        <f t="shared" si="14"/>
        <v>0</v>
      </c>
      <c r="AE13" s="26">
        <v>0.0</v>
      </c>
      <c r="AF13" s="31">
        <f t="shared" si="15"/>
        <v>0</v>
      </c>
      <c r="AG13" s="26">
        <v>0.0</v>
      </c>
      <c r="AH13" s="31">
        <f t="shared" si="16"/>
        <v>0</v>
      </c>
      <c r="AI13" s="26">
        <v>11075.0</v>
      </c>
      <c r="AJ13" s="31">
        <f t="shared" si="17"/>
        <v>10.72244598</v>
      </c>
    </row>
    <row r="14">
      <c r="A14" s="25" t="s">
        <v>48</v>
      </c>
      <c r="B14" s="26">
        <v>156987.0</v>
      </c>
      <c r="C14" s="26">
        <v>0.0</v>
      </c>
      <c r="D14" s="31">
        <f t="shared" si="1"/>
        <v>0</v>
      </c>
      <c r="E14" s="26">
        <v>68826.0</v>
      </c>
      <c r="F14" s="31">
        <f t="shared" si="2"/>
        <v>43.84184678</v>
      </c>
      <c r="G14" s="26">
        <v>0.0</v>
      </c>
      <c r="H14" s="31">
        <f t="shared" si="3"/>
        <v>0</v>
      </c>
      <c r="I14" s="26">
        <v>5890.0</v>
      </c>
      <c r="J14" s="31">
        <f t="shared" si="4"/>
        <v>3.751903024</v>
      </c>
      <c r="K14" s="26">
        <v>12971.0</v>
      </c>
      <c r="L14" s="31">
        <f t="shared" si="5"/>
        <v>8.262467593</v>
      </c>
      <c r="M14" s="26">
        <v>0.0</v>
      </c>
      <c r="N14" s="31">
        <f t="shared" si="6"/>
        <v>0</v>
      </c>
      <c r="O14" s="26">
        <v>37730.0</v>
      </c>
      <c r="P14" s="31">
        <f t="shared" si="7"/>
        <v>24.0338372</v>
      </c>
      <c r="Q14" s="26">
        <v>0.0</v>
      </c>
      <c r="R14" s="31">
        <f t="shared" si="8"/>
        <v>0</v>
      </c>
      <c r="S14" s="26">
        <v>58528.0</v>
      </c>
      <c r="T14" s="31">
        <f t="shared" si="9"/>
        <v>37.28206794</v>
      </c>
      <c r="U14" s="26">
        <v>5890.0</v>
      </c>
      <c r="V14" s="31">
        <f t="shared" si="10"/>
        <v>3.751903024</v>
      </c>
      <c r="W14" s="26">
        <v>0.0</v>
      </c>
      <c r="X14" s="31">
        <f t="shared" si="11"/>
        <v>0</v>
      </c>
      <c r="Y14" s="26">
        <v>0.0</v>
      </c>
      <c r="Z14" s="31">
        <f t="shared" si="12"/>
        <v>0</v>
      </c>
      <c r="AA14" s="26">
        <v>0.0</v>
      </c>
      <c r="AB14" s="31">
        <f t="shared" si="13"/>
        <v>0</v>
      </c>
      <c r="AC14" s="26">
        <v>0.0</v>
      </c>
      <c r="AD14" s="31">
        <f t="shared" si="14"/>
        <v>0</v>
      </c>
      <c r="AE14" s="26">
        <v>5973.0</v>
      </c>
      <c r="AF14" s="31">
        <f t="shared" si="15"/>
        <v>3.804773644</v>
      </c>
      <c r="AG14" s="26">
        <v>5973.0</v>
      </c>
      <c r="AH14" s="31">
        <f t="shared" si="16"/>
        <v>3.804773644</v>
      </c>
      <c r="AI14" s="26">
        <v>25991.0</v>
      </c>
      <c r="AJ14" s="31">
        <f t="shared" si="17"/>
        <v>16.55614796</v>
      </c>
    </row>
    <row r="15">
      <c r="A15" s="25" t="s">
        <v>50</v>
      </c>
      <c r="B15" s="26">
        <v>26747.0</v>
      </c>
      <c r="C15" s="26">
        <v>1449.0</v>
      </c>
      <c r="D15" s="31">
        <f t="shared" si="1"/>
        <v>5.417429992</v>
      </c>
      <c r="E15" s="26">
        <v>15506.0</v>
      </c>
      <c r="F15" s="31">
        <f t="shared" si="2"/>
        <v>57.97285677</v>
      </c>
      <c r="G15" s="26">
        <v>0.0</v>
      </c>
      <c r="H15" s="31">
        <f t="shared" si="3"/>
        <v>0</v>
      </c>
      <c r="I15" s="26">
        <v>0.0</v>
      </c>
      <c r="J15" s="31">
        <f t="shared" si="4"/>
        <v>0</v>
      </c>
      <c r="K15" s="26">
        <v>986.0</v>
      </c>
      <c r="L15" s="31">
        <f t="shared" si="5"/>
        <v>3.686394736</v>
      </c>
      <c r="M15" s="26">
        <v>2719.0</v>
      </c>
      <c r="N15" s="31">
        <f t="shared" si="6"/>
        <v>10.16562605</v>
      </c>
      <c r="O15" s="26">
        <v>3905.0</v>
      </c>
      <c r="P15" s="31">
        <f t="shared" si="7"/>
        <v>14.5997682</v>
      </c>
      <c r="Q15" s="26">
        <v>0.0</v>
      </c>
      <c r="R15" s="31">
        <f t="shared" si="8"/>
        <v>0</v>
      </c>
      <c r="S15" s="26">
        <v>10199.0</v>
      </c>
      <c r="T15" s="31">
        <f t="shared" si="9"/>
        <v>38.13137922</v>
      </c>
      <c r="U15" s="26">
        <v>3387.0</v>
      </c>
      <c r="V15" s="31">
        <f t="shared" si="10"/>
        <v>12.6631024</v>
      </c>
      <c r="W15" s="26">
        <v>0.0</v>
      </c>
      <c r="X15" s="31">
        <f t="shared" si="11"/>
        <v>0</v>
      </c>
      <c r="Y15" s="26">
        <v>0.0</v>
      </c>
      <c r="Z15" s="31">
        <f t="shared" si="12"/>
        <v>0</v>
      </c>
      <c r="AA15" s="26">
        <v>0.0</v>
      </c>
      <c r="AB15" s="31">
        <f t="shared" si="13"/>
        <v>0</v>
      </c>
      <c r="AC15" s="26">
        <v>0.0</v>
      </c>
      <c r="AD15" s="31">
        <f t="shared" si="14"/>
        <v>0</v>
      </c>
      <c r="AE15" s="26">
        <v>1449.0</v>
      </c>
      <c r="AF15" s="31">
        <f t="shared" si="15"/>
        <v>5.417429992</v>
      </c>
      <c r="AG15" s="26">
        <v>0.0</v>
      </c>
      <c r="AH15" s="31">
        <f t="shared" si="16"/>
        <v>0</v>
      </c>
      <c r="AI15" s="26">
        <v>3677.0</v>
      </c>
      <c r="AJ15" s="31">
        <f t="shared" si="17"/>
        <v>13.74733615</v>
      </c>
    </row>
    <row r="16">
      <c r="A16" s="25" t="s">
        <v>51</v>
      </c>
      <c r="B16" s="26">
        <v>77910.0</v>
      </c>
      <c r="C16" s="26">
        <v>0.0</v>
      </c>
      <c r="D16" s="31">
        <f t="shared" si="1"/>
        <v>0</v>
      </c>
      <c r="E16" s="26">
        <v>35184.0</v>
      </c>
      <c r="F16" s="31">
        <f t="shared" si="2"/>
        <v>45.15979977</v>
      </c>
      <c r="G16" s="26">
        <v>0.0</v>
      </c>
      <c r="H16" s="31">
        <f t="shared" si="3"/>
        <v>0</v>
      </c>
      <c r="I16" s="26">
        <v>0.0</v>
      </c>
      <c r="J16" s="31">
        <f t="shared" si="4"/>
        <v>0</v>
      </c>
      <c r="K16" s="26">
        <v>2388.0</v>
      </c>
      <c r="L16" s="31">
        <f t="shared" si="5"/>
        <v>3.065075087</v>
      </c>
      <c r="M16" s="26">
        <v>4890.0</v>
      </c>
      <c r="N16" s="31">
        <f t="shared" si="6"/>
        <v>6.276472853</v>
      </c>
      <c r="O16" s="26">
        <v>14411.0</v>
      </c>
      <c r="P16" s="31">
        <f t="shared" si="7"/>
        <v>18.4969837</v>
      </c>
      <c r="Q16" s="26">
        <v>0.0</v>
      </c>
      <c r="R16" s="31">
        <f t="shared" si="8"/>
        <v>0</v>
      </c>
      <c r="S16" s="26">
        <v>24072.0</v>
      </c>
      <c r="T16" s="31">
        <f t="shared" si="9"/>
        <v>30.89718906</v>
      </c>
      <c r="U16" s="26">
        <v>5896.0</v>
      </c>
      <c r="V16" s="31">
        <f t="shared" si="10"/>
        <v>7.567706328</v>
      </c>
      <c r="W16" s="26">
        <v>0.0</v>
      </c>
      <c r="X16" s="31">
        <f t="shared" si="11"/>
        <v>0</v>
      </c>
      <c r="Y16" s="26">
        <v>2948.0</v>
      </c>
      <c r="Z16" s="31">
        <f t="shared" si="12"/>
        <v>3.783853164</v>
      </c>
      <c r="AA16" s="26">
        <v>0.0</v>
      </c>
      <c r="AB16" s="31">
        <f t="shared" si="13"/>
        <v>0</v>
      </c>
      <c r="AC16" s="26">
        <v>0.0</v>
      </c>
      <c r="AD16" s="31">
        <f t="shared" si="14"/>
        <v>0</v>
      </c>
      <c r="AE16" s="26">
        <v>0.0</v>
      </c>
      <c r="AF16" s="31">
        <f t="shared" si="15"/>
        <v>0</v>
      </c>
      <c r="AG16" s="26">
        <v>3399.0</v>
      </c>
      <c r="AH16" s="31">
        <f t="shared" si="16"/>
        <v>4.362726223</v>
      </c>
      <c r="AI16" s="26">
        <v>11469.0</v>
      </c>
      <c r="AJ16" s="31">
        <f t="shared" si="17"/>
        <v>14.72083173</v>
      </c>
    </row>
    <row r="17">
      <c r="A17" s="25" t="s">
        <v>53</v>
      </c>
      <c r="B17" s="26">
        <v>33828.0</v>
      </c>
      <c r="C17" s="26">
        <v>3379.0</v>
      </c>
      <c r="D17" s="31">
        <f t="shared" si="1"/>
        <v>9.988766702</v>
      </c>
      <c r="E17" s="26">
        <v>26879.0</v>
      </c>
      <c r="F17" s="31">
        <f t="shared" si="2"/>
        <v>79.45784557</v>
      </c>
      <c r="G17" s="26">
        <v>3379.0</v>
      </c>
      <c r="H17" s="31">
        <f t="shared" si="3"/>
        <v>9.988766702</v>
      </c>
      <c r="I17" s="26">
        <v>0.0</v>
      </c>
      <c r="J17" s="31">
        <f t="shared" si="4"/>
        <v>0</v>
      </c>
      <c r="K17" s="26">
        <v>0.0</v>
      </c>
      <c r="L17" s="31">
        <f t="shared" si="5"/>
        <v>0</v>
      </c>
      <c r="M17" s="26">
        <v>9171.0</v>
      </c>
      <c r="N17" s="31">
        <f t="shared" si="6"/>
        <v>27.11067755</v>
      </c>
      <c r="O17" s="26">
        <v>10656.0</v>
      </c>
      <c r="P17" s="31">
        <f t="shared" si="7"/>
        <v>31.5005321</v>
      </c>
      <c r="Q17" s="26">
        <v>4825.0</v>
      </c>
      <c r="R17" s="31">
        <f t="shared" si="8"/>
        <v>14.26333215</v>
      </c>
      <c r="S17" s="26">
        <v>11266.0</v>
      </c>
      <c r="T17" s="31">
        <f t="shared" si="9"/>
        <v>33.30377202</v>
      </c>
      <c r="U17" s="26">
        <v>4527.0</v>
      </c>
      <c r="V17" s="31">
        <f t="shared" si="10"/>
        <v>13.38240511</v>
      </c>
      <c r="W17" s="26">
        <v>0.0</v>
      </c>
      <c r="X17" s="31">
        <f t="shared" si="11"/>
        <v>0</v>
      </c>
      <c r="Y17" s="26">
        <v>4527.0</v>
      </c>
      <c r="Z17" s="31">
        <f t="shared" si="12"/>
        <v>13.38240511</v>
      </c>
      <c r="AA17" s="26">
        <v>0.0</v>
      </c>
      <c r="AB17" s="31">
        <f t="shared" si="13"/>
        <v>0</v>
      </c>
      <c r="AC17" s="26">
        <v>0.0</v>
      </c>
      <c r="AD17" s="31">
        <f t="shared" si="14"/>
        <v>0</v>
      </c>
      <c r="AE17" s="26">
        <v>2452.0</v>
      </c>
      <c r="AF17" s="31">
        <f t="shared" si="15"/>
        <v>7.248433251</v>
      </c>
      <c r="AG17" s="26">
        <v>2412.0</v>
      </c>
      <c r="AH17" s="31">
        <f t="shared" si="16"/>
        <v>7.13018801</v>
      </c>
      <c r="AI17" s="26">
        <v>1495.0</v>
      </c>
      <c r="AJ17" s="31">
        <f t="shared" si="17"/>
        <v>4.419415869</v>
      </c>
    </row>
    <row r="18">
      <c r="A18" s="25" t="s">
        <v>54</v>
      </c>
      <c r="B18" s="26">
        <v>91359.0</v>
      </c>
      <c r="C18" s="26">
        <v>0.0</v>
      </c>
      <c r="D18" s="31">
        <f t="shared" si="1"/>
        <v>0</v>
      </c>
      <c r="E18" s="26">
        <v>41701.0</v>
      </c>
      <c r="F18" s="31">
        <f t="shared" si="2"/>
        <v>45.6452019</v>
      </c>
      <c r="G18" s="26">
        <v>0.0</v>
      </c>
      <c r="H18" s="31">
        <f t="shared" si="3"/>
        <v>0</v>
      </c>
      <c r="I18" s="26">
        <v>2298.0</v>
      </c>
      <c r="J18" s="31">
        <f t="shared" si="4"/>
        <v>2.515351525</v>
      </c>
      <c r="K18" s="26">
        <v>0.0</v>
      </c>
      <c r="L18" s="31">
        <f t="shared" si="5"/>
        <v>0</v>
      </c>
      <c r="M18" s="26">
        <v>2671.0</v>
      </c>
      <c r="N18" s="31">
        <f t="shared" si="6"/>
        <v>2.92363095</v>
      </c>
      <c r="O18" s="26">
        <v>21145.0</v>
      </c>
      <c r="P18" s="31">
        <f t="shared" si="7"/>
        <v>23.14495561</v>
      </c>
      <c r="Q18" s="26">
        <v>0.0</v>
      </c>
      <c r="R18" s="31">
        <f t="shared" si="8"/>
        <v>0</v>
      </c>
      <c r="S18" s="26">
        <v>27858.0</v>
      </c>
      <c r="T18" s="31">
        <f t="shared" si="9"/>
        <v>30.49289068</v>
      </c>
      <c r="U18" s="26">
        <v>13097.0</v>
      </c>
      <c r="V18" s="31">
        <f t="shared" si="10"/>
        <v>14.33575236</v>
      </c>
      <c r="W18" s="26">
        <v>0.0</v>
      </c>
      <c r="X18" s="31">
        <f t="shared" si="11"/>
        <v>0</v>
      </c>
      <c r="Y18" s="26">
        <v>2298.0</v>
      </c>
      <c r="Z18" s="31">
        <f t="shared" si="12"/>
        <v>2.515351525</v>
      </c>
      <c r="AA18" s="26">
        <v>0.0</v>
      </c>
      <c r="AB18" s="31">
        <f t="shared" si="13"/>
        <v>0</v>
      </c>
      <c r="AC18" s="26">
        <v>4969.0</v>
      </c>
      <c r="AD18" s="31">
        <f t="shared" si="14"/>
        <v>5.438982476</v>
      </c>
      <c r="AE18" s="26">
        <v>0.0</v>
      </c>
      <c r="AF18" s="31">
        <f t="shared" si="15"/>
        <v>0</v>
      </c>
      <c r="AG18" s="26">
        <v>0.0</v>
      </c>
      <c r="AH18" s="31">
        <f t="shared" si="16"/>
        <v>0</v>
      </c>
      <c r="AI18" s="26">
        <v>22418.0</v>
      </c>
      <c r="AJ18" s="31">
        <f t="shared" si="17"/>
        <v>24.53835966</v>
      </c>
    </row>
    <row r="19">
      <c r="A19" s="25" t="s">
        <v>56</v>
      </c>
      <c r="B19" s="26">
        <v>42722.0</v>
      </c>
      <c r="C19" s="26">
        <v>2792.0</v>
      </c>
      <c r="D19" s="31">
        <f t="shared" si="1"/>
        <v>6.535274566</v>
      </c>
      <c r="E19" s="26">
        <v>16575.0</v>
      </c>
      <c r="F19" s="31">
        <f t="shared" si="2"/>
        <v>38.79734095</v>
      </c>
      <c r="G19" s="26">
        <v>2792.0</v>
      </c>
      <c r="H19" s="31">
        <f t="shared" si="3"/>
        <v>6.535274566</v>
      </c>
      <c r="I19" s="26">
        <v>0.0</v>
      </c>
      <c r="J19" s="31">
        <f t="shared" si="4"/>
        <v>0</v>
      </c>
      <c r="K19" s="26">
        <v>0.0</v>
      </c>
      <c r="L19" s="31">
        <f t="shared" si="5"/>
        <v>0</v>
      </c>
      <c r="M19" s="26">
        <v>4606.0</v>
      </c>
      <c r="N19" s="31">
        <f t="shared" si="6"/>
        <v>10.78133046</v>
      </c>
      <c r="O19" s="26">
        <v>13225.0</v>
      </c>
      <c r="P19" s="31">
        <f t="shared" si="7"/>
        <v>30.95594776</v>
      </c>
      <c r="Q19" s="26">
        <v>0.0</v>
      </c>
      <c r="R19" s="31">
        <f t="shared" si="8"/>
        <v>0</v>
      </c>
      <c r="S19" s="26">
        <v>17526.0</v>
      </c>
      <c r="T19" s="31">
        <f t="shared" si="9"/>
        <v>41.02336033</v>
      </c>
      <c r="U19" s="26">
        <v>7293.0</v>
      </c>
      <c r="V19" s="31">
        <f t="shared" si="10"/>
        <v>17.07083002</v>
      </c>
      <c r="W19" s="26">
        <v>0.0</v>
      </c>
      <c r="X19" s="31">
        <f t="shared" si="11"/>
        <v>0</v>
      </c>
      <c r="Y19" s="26">
        <v>1542.0</v>
      </c>
      <c r="Z19" s="31">
        <f t="shared" si="12"/>
        <v>3.609381583</v>
      </c>
      <c r="AA19" s="26">
        <v>0.0</v>
      </c>
      <c r="AB19" s="31">
        <f t="shared" si="13"/>
        <v>0</v>
      </c>
      <c r="AC19" s="26">
        <v>1542.0</v>
      </c>
      <c r="AD19" s="31">
        <f t="shared" si="14"/>
        <v>3.609381583</v>
      </c>
      <c r="AE19" s="26">
        <v>0.0</v>
      </c>
      <c r="AF19" s="31">
        <f t="shared" si="15"/>
        <v>0</v>
      </c>
      <c r="AG19" s="26">
        <v>0.0</v>
      </c>
      <c r="AH19" s="31">
        <f t="shared" si="16"/>
        <v>0</v>
      </c>
      <c r="AI19" s="26">
        <v>1222.0</v>
      </c>
      <c r="AJ19" s="31">
        <f t="shared" si="17"/>
        <v>2.86035298</v>
      </c>
    </row>
    <row r="20">
      <c r="A20" s="25" t="s">
        <v>57</v>
      </c>
      <c r="B20" s="26">
        <v>14231.0</v>
      </c>
      <c r="C20" s="26">
        <v>0.0</v>
      </c>
      <c r="D20" s="31">
        <f t="shared" si="1"/>
        <v>0</v>
      </c>
      <c r="E20" s="26">
        <v>1905.0</v>
      </c>
      <c r="F20" s="31">
        <f t="shared" si="2"/>
        <v>13.38626941</v>
      </c>
      <c r="G20" s="26">
        <v>0.0</v>
      </c>
      <c r="H20" s="31">
        <f t="shared" si="3"/>
        <v>0</v>
      </c>
      <c r="I20" s="26">
        <v>0.0</v>
      </c>
      <c r="J20" s="31">
        <f t="shared" si="4"/>
        <v>0</v>
      </c>
      <c r="K20" s="26">
        <v>0.0</v>
      </c>
      <c r="L20" s="31">
        <f t="shared" si="5"/>
        <v>0</v>
      </c>
      <c r="M20" s="26">
        <v>1433.0</v>
      </c>
      <c r="N20" s="31">
        <f t="shared" si="6"/>
        <v>10.06956644</v>
      </c>
      <c r="O20" s="26">
        <v>1433.0</v>
      </c>
      <c r="P20" s="31">
        <f t="shared" si="7"/>
        <v>10.06956644</v>
      </c>
      <c r="Q20" s="26">
        <v>0.0</v>
      </c>
      <c r="R20" s="31">
        <f t="shared" si="8"/>
        <v>0</v>
      </c>
      <c r="S20" s="26">
        <v>6921.0</v>
      </c>
      <c r="T20" s="31">
        <f t="shared" si="9"/>
        <v>48.63326541</v>
      </c>
      <c r="U20" s="26">
        <v>1748.0</v>
      </c>
      <c r="V20" s="31">
        <f t="shared" si="10"/>
        <v>12.28304406</v>
      </c>
      <c r="W20" s="26">
        <v>0.0</v>
      </c>
      <c r="X20" s="31">
        <f t="shared" si="11"/>
        <v>0</v>
      </c>
      <c r="Y20" s="26">
        <v>0.0</v>
      </c>
      <c r="Z20" s="31">
        <f t="shared" si="12"/>
        <v>0</v>
      </c>
      <c r="AA20" s="26">
        <v>0.0</v>
      </c>
      <c r="AB20" s="31">
        <f t="shared" si="13"/>
        <v>0</v>
      </c>
      <c r="AC20" s="26">
        <v>0.0</v>
      </c>
      <c r="AD20" s="31">
        <f t="shared" si="14"/>
        <v>0</v>
      </c>
      <c r="AE20" s="26">
        <v>2225.0</v>
      </c>
      <c r="AF20" s="31">
        <f t="shared" si="15"/>
        <v>15.6348816</v>
      </c>
      <c r="AG20" s="26">
        <v>0.0</v>
      </c>
      <c r="AH20" s="31">
        <f t="shared" si="16"/>
        <v>0</v>
      </c>
      <c r="AI20" s="26">
        <v>0.0</v>
      </c>
      <c r="AJ20" s="31">
        <f t="shared" si="17"/>
        <v>0</v>
      </c>
    </row>
    <row r="21" ht="15.75" customHeight="1">
      <c r="A21" s="25" t="s">
        <v>59</v>
      </c>
      <c r="B21" s="26">
        <v>58813.0</v>
      </c>
      <c r="C21" s="26">
        <v>3084.0</v>
      </c>
      <c r="D21" s="31">
        <f t="shared" si="1"/>
        <v>5.243738629</v>
      </c>
      <c r="E21" s="26">
        <v>18900.0</v>
      </c>
      <c r="F21" s="31">
        <f t="shared" si="2"/>
        <v>32.1357523</v>
      </c>
      <c r="G21" s="26">
        <v>0.0</v>
      </c>
      <c r="H21" s="31">
        <f t="shared" si="3"/>
        <v>0</v>
      </c>
      <c r="I21" s="26">
        <v>2376.0</v>
      </c>
      <c r="J21" s="31">
        <f t="shared" si="4"/>
        <v>4.039923146</v>
      </c>
      <c r="K21" s="26">
        <v>0.0</v>
      </c>
      <c r="L21" s="31">
        <f t="shared" si="5"/>
        <v>0</v>
      </c>
      <c r="M21" s="26">
        <v>2036.0</v>
      </c>
      <c r="N21" s="31">
        <f t="shared" si="6"/>
        <v>3.461819666</v>
      </c>
      <c r="O21" s="26">
        <v>9777.0</v>
      </c>
      <c r="P21" s="31">
        <f t="shared" si="7"/>
        <v>16.62387567</v>
      </c>
      <c r="Q21" s="26">
        <v>0.0</v>
      </c>
      <c r="R21" s="31">
        <f t="shared" si="8"/>
        <v>0</v>
      </c>
      <c r="S21" s="26">
        <v>17076.0</v>
      </c>
      <c r="T21" s="31">
        <f t="shared" si="9"/>
        <v>29.03439716</v>
      </c>
      <c r="U21" s="26">
        <v>10465.0</v>
      </c>
      <c r="V21" s="31">
        <f t="shared" si="10"/>
        <v>17.79368507</v>
      </c>
      <c r="W21" s="26">
        <v>0.0</v>
      </c>
      <c r="X21" s="31">
        <f t="shared" si="11"/>
        <v>0</v>
      </c>
      <c r="Y21" s="26">
        <v>5299.0</v>
      </c>
      <c r="Z21" s="31">
        <f t="shared" si="12"/>
        <v>9.009912774</v>
      </c>
      <c r="AA21" s="26">
        <v>1811.0</v>
      </c>
      <c r="AB21" s="31">
        <f t="shared" si="13"/>
        <v>3.079251186</v>
      </c>
      <c r="AC21" s="26">
        <v>0.0</v>
      </c>
      <c r="AD21" s="31">
        <f t="shared" si="14"/>
        <v>0</v>
      </c>
      <c r="AE21" s="26">
        <v>0.0</v>
      </c>
      <c r="AF21" s="31">
        <f t="shared" si="15"/>
        <v>0</v>
      </c>
      <c r="AG21" s="26">
        <v>0.0</v>
      </c>
      <c r="AH21" s="31">
        <f t="shared" si="16"/>
        <v>0</v>
      </c>
      <c r="AI21" s="26">
        <v>2376.0</v>
      </c>
      <c r="AJ21" s="31">
        <f t="shared" si="17"/>
        <v>4.039923146</v>
      </c>
    </row>
    <row r="22" ht="15.75" customHeight="1">
      <c r="A22" s="25" t="s">
        <v>60</v>
      </c>
      <c r="B22" s="26">
        <v>23315.0</v>
      </c>
      <c r="C22" s="26">
        <v>0.0</v>
      </c>
      <c r="D22" s="31">
        <f t="shared" si="1"/>
        <v>0</v>
      </c>
      <c r="E22" s="26">
        <v>12817.0</v>
      </c>
      <c r="F22" s="31">
        <f t="shared" si="2"/>
        <v>54.97319322</v>
      </c>
      <c r="G22" s="26">
        <v>0.0</v>
      </c>
      <c r="H22" s="31">
        <f t="shared" si="3"/>
        <v>0</v>
      </c>
      <c r="I22" s="26">
        <v>1863.0</v>
      </c>
      <c r="J22" s="31">
        <f t="shared" si="4"/>
        <v>7.990564015</v>
      </c>
      <c r="K22" s="26">
        <v>3802.0</v>
      </c>
      <c r="L22" s="31">
        <f t="shared" si="5"/>
        <v>16.30709843</v>
      </c>
      <c r="M22" s="26">
        <v>1863.0</v>
      </c>
      <c r="N22" s="31">
        <f t="shared" si="6"/>
        <v>7.990564015</v>
      </c>
      <c r="O22" s="26">
        <v>5665.0</v>
      </c>
      <c r="P22" s="31">
        <f t="shared" si="7"/>
        <v>24.29766245</v>
      </c>
      <c r="Q22" s="26">
        <v>0.0</v>
      </c>
      <c r="R22" s="31">
        <f t="shared" si="8"/>
        <v>0</v>
      </c>
      <c r="S22" s="26">
        <v>3802.0</v>
      </c>
      <c r="T22" s="31">
        <f t="shared" si="9"/>
        <v>16.30709843</v>
      </c>
      <c r="U22" s="26">
        <v>5692.0</v>
      </c>
      <c r="V22" s="31">
        <f t="shared" si="10"/>
        <v>24.41346772</v>
      </c>
      <c r="W22" s="26">
        <v>3420.0</v>
      </c>
      <c r="X22" s="31">
        <f t="shared" si="11"/>
        <v>14.66866824</v>
      </c>
      <c r="Y22" s="26">
        <v>0.0</v>
      </c>
      <c r="Z22" s="31">
        <f t="shared" si="12"/>
        <v>0</v>
      </c>
      <c r="AA22" s="26">
        <v>0.0</v>
      </c>
      <c r="AB22" s="31">
        <f t="shared" si="13"/>
        <v>0</v>
      </c>
      <c r="AC22" s="26">
        <v>0.0</v>
      </c>
      <c r="AD22" s="31">
        <f t="shared" si="14"/>
        <v>0</v>
      </c>
      <c r="AE22" s="26">
        <v>0.0</v>
      </c>
      <c r="AF22" s="31">
        <f t="shared" si="15"/>
        <v>0</v>
      </c>
      <c r="AG22" s="26">
        <v>0.0</v>
      </c>
      <c r="AH22" s="31">
        <f t="shared" si="16"/>
        <v>0</v>
      </c>
      <c r="AI22" s="26">
        <v>2572.0</v>
      </c>
      <c r="AJ22" s="31">
        <f t="shared" si="17"/>
        <v>11.03152477</v>
      </c>
    </row>
    <row r="23" ht="15.75" customHeight="1">
      <c r="A23" s="25" t="s">
        <v>63</v>
      </c>
      <c r="B23" s="26">
        <v>54536.0</v>
      </c>
      <c r="C23" s="26">
        <v>2178.0</v>
      </c>
      <c r="D23" s="31">
        <f t="shared" si="1"/>
        <v>3.99369224</v>
      </c>
      <c r="E23" s="26">
        <v>28600.0</v>
      </c>
      <c r="F23" s="31">
        <f t="shared" si="2"/>
        <v>52.44242335</v>
      </c>
      <c r="G23" s="26">
        <v>0.0</v>
      </c>
      <c r="H23" s="31">
        <f t="shared" si="3"/>
        <v>0</v>
      </c>
      <c r="I23" s="26">
        <v>0.0</v>
      </c>
      <c r="J23" s="31">
        <f t="shared" si="4"/>
        <v>0</v>
      </c>
      <c r="K23" s="26">
        <v>0.0</v>
      </c>
      <c r="L23" s="31">
        <f t="shared" si="5"/>
        <v>0</v>
      </c>
      <c r="M23" s="26">
        <v>4196.0</v>
      </c>
      <c r="N23" s="31">
        <f t="shared" si="6"/>
        <v>7.694000293</v>
      </c>
      <c r="O23" s="26">
        <v>8354.0</v>
      </c>
      <c r="P23" s="31">
        <f t="shared" si="7"/>
        <v>15.31832184</v>
      </c>
      <c r="Q23" s="26">
        <v>0.0</v>
      </c>
      <c r="R23" s="31">
        <f t="shared" si="8"/>
        <v>0</v>
      </c>
      <c r="S23" s="26">
        <v>12034.0</v>
      </c>
      <c r="T23" s="31">
        <f t="shared" si="9"/>
        <v>22.06615813</v>
      </c>
      <c r="U23" s="26">
        <v>7042.0</v>
      </c>
      <c r="V23" s="31">
        <f t="shared" si="10"/>
        <v>12.91257151</v>
      </c>
      <c r="W23" s="26">
        <v>2178.0</v>
      </c>
      <c r="X23" s="31">
        <f t="shared" si="11"/>
        <v>3.99369224</v>
      </c>
      <c r="Y23" s="26">
        <v>0.0</v>
      </c>
      <c r="Z23" s="31">
        <f t="shared" si="12"/>
        <v>0</v>
      </c>
      <c r="AA23" s="26">
        <v>2178.0</v>
      </c>
      <c r="AB23" s="31">
        <f t="shared" si="13"/>
        <v>3.99369224</v>
      </c>
      <c r="AC23" s="26">
        <v>2178.0</v>
      </c>
      <c r="AD23" s="31">
        <f t="shared" si="14"/>
        <v>3.99369224</v>
      </c>
      <c r="AE23" s="26">
        <v>0.0</v>
      </c>
      <c r="AF23" s="31">
        <f t="shared" si="15"/>
        <v>0</v>
      </c>
      <c r="AG23" s="26">
        <v>0.0</v>
      </c>
      <c r="AH23" s="31">
        <f t="shared" si="16"/>
        <v>0</v>
      </c>
      <c r="AI23" s="26">
        <v>6185.0</v>
      </c>
      <c r="AJ23" s="31">
        <f t="shared" si="17"/>
        <v>11.34113246</v>
      </c>
    </row>
    <row r="24" ht="15.75" customHeight="1">
      <c r="A24" s="25" t="s">
        <v>64</v>
      </c>
      <c r="B24" s="26">
        <v>12309.0</v>
      </c>
      <c r="C24" s="26">
        <v>0.0</v>
      </c>
      <c r="D24" s="31">
        <f t="shared" si="1"/>
        <v>0</v>
      </c>
      <c r="E24" s="26">
        <v>9048.0</v>
      </c>
      <c r="F24" s="31">
        <f t="shared" si="2"/>
        <v>73.50718986</v>
      </c>
      <c r="G24" s="26">
        <v>0.0</v>
      </c>
      <c r="H24" s="31">
        <f t="shared" si="3"/>
        <v>0</v>
      </c>
      <c r="I24" s="26">
        <v>0.0</v>
      </c>
      <c r="J24" s="31">
        <f t="shared" si="4"/>
        <v>0</v>
      </c>
      <c r="K24" s="26">
        <v>0.0</v>
      </c>
      <c r="L24" s="31">
        <f t="shared" si="5"/>
        <v>0</v>
      </c>
      <c r="M24" s="26">
        <v>1704.0</v>
      </c>
      <c r="N24" s="31">
        <f t="shared" si="6"/>
        <v>13.84352913</v>
      </c>
      <c r="O24" s="26">
        <v>1532.0</v>
      </c>
      <c r="P24" s="31">
        <f t="shared" si="7"/>
        <v>12.44617759</v>
      </c>
      <c r="Q24" s="26">
        <v>0.0</v>
      </c>
      <c r="R24" s="31">
        <f t="shared" si="8"/>
        <v>0</v>
      </c>
      <c r="S24" s="26">
        <v>778.0</v>
      </c>
      <c r="T24" s="31">
        <f t="shared" si="9"/>
        <v>6.320578439</v>
      </c>
      <c r="U24" s="26">
        <v>0.0</v>
      </c>
      <c r="V24" s="31">
        <f t="shared" si="10"/>
        <v>0</v>
      </c>
      <c r="W24" s="26">
        <v>0.0</v>
      </c>
      <c r="X24" s="31">
        <f t="shared" si="11"/>
        <v>0</v>
      </c>
      <c r="Y24" s="26">
        <v>0.0</v>
      </c>
      <c r="Z24" s="31">
        <f t="shared" si="12"/>
        <v>0</v>
      </c>
      <c r="AA24" s="26">
        <v>0.0</v>
      </c>
      <c r="AB24" s="31">
        <f t="shared" si="13"/>
        <v>0</v>
      </c>
      <c r="AC24" s="26">
        <v>0.0</v>
      </c>
      <c r="AD24" s="31">
        <f t="shared" si="14"/>
        <v>0</v>
      </c>
      <c r="AE24" s="26">
        <v>0.0</v>
      </c>
      <c r="AF24" s="31">
        <f t="shared" si="15"/>
        <v>0</v>
      </c>
      <c r="AG24" s="26">
        <v>0.0</v>
      </c>
      <c r="AH24" s="31">
        <f t="shared" si="16"/>
        <v>0</v>
      </c>
      <c r="AI24" s="26">
        <v>778.0</v>
      </c>
      <c r="AJ24" s="31">
        <f t="shared" si="17"/>
        <v>6.320578439</v>
      </c>
    </row>
    <row r="25" ht="15.75" customHeight="1">
      <c r="A25" s="25" t="s">
        <v>65</v>
      </c>
      <c r="B25" s="26">
        <v>5167.0</v>
      </c>
      <c r="C25" s="26">
        <v>0.0</v>
      </c>
      <c r="D25" s="31">
        <f t="shared" si="1"/>
        <v>0</v>
      </c>
      <c r="E25" s="26">
        <v>5167.0</v>
      </c>
      <c r="F25" s="31">
        <f t="shared" si="2"/>
        <v>100</v>
      </c>
      <c r="G25" s="26">
        <v>0.0</v>
      </c>
      <c r="H25" s="31">
        <f t="shared" si="3"/>
        <v>0</v>
      </c>
      <c r="I25" s="26">
        <v>0.0</v>
      </c>
      <c r="J25" s="31">
        <f t="shared" si="4"/>
        <v>0</v>
      </c>
      <c r="K25" s="26">
        <v>0.0</v>
      </c>
      <c r="L25" s="31">
        <f t="shared" si="5"/>
        <v>0</v>
      </c>
      <c r="M25" s="26">
        <v>1227.0</v>
      </c>
      <c r="N25" s="31">
        <f t="shared" si="6"/>
        <v>23.74685504</v>
      </c>
      <c r="O25" s="26">
        <v>2712.0</v>
      </c>
      <c r="P25" s="31">
        <f t="shared" si="7"/>
        <v>52.48693633</v>
      </c>
      <c r="Q25" s="26">
        <v>0.0</v>
      </c>
      <c r="R25" s="31">
        <f t="shared" si="8"/>
        <v>0</v>
      </c>
      <c r="S25" s="26">
        <v>0.0</v>
      </c>
      <c r="T25" s="31">
        <f t="shared" si="9"/>
        <v>0</v>
      </c>
      <c r="U25" s="26">
        <v>0.0</v>
      </c>
      <c r="V25" s="31">
        <f t="shared" si="10"/>
        <v>0</v>
      </c>
      <c r="W25" s="26">
        <v>0.0</v>
      </c>
      <c r="X25" s="31">
        <f t="shared" si="11"/>
        <v>0</v>
      </c>
      <c r="Y25" s="26">
        <v>0.0</v>
      </c>
      <c r="Z25" s="31">
        <f t="shared" si="12"/>
        <v>0</v>
      </c>
      <c r="AA25" s="26">
        <v>0.0</v>
      </c>
      <c r="AB25" s="31">
        <f t="shared" si="13"/>
        <v>0</v>
      </c>
      <c r="AC25" s="26">
        <v>0.0</v>
      </c>
      <c r="AD25" s="31">
        <f t="shared" si="14"/>
        <v>0</v>
      </c>
      <c r="AE25" s="26">
        <v>0.0</v>
      </c>
      <c r="AF25" s="31">
        <f t="shared" si="15"/>
        <v>0</v>
      </c>
      <c r="AG25" s="26">
        <v>0.0</v>
      </c>
      <c r="AH25" s="31">
        <f t="shared" si="16"/>
        <v>0</v>
      </c>
      <c r="AI25" s="26">
        <v>0.0</v>
      </c>
      <c r="AJ25" s="31">
        <f t="shared" si="17"/>
        <v>0</v>
      </c>
    </row>
    <row r="26" ht="15.75" customHeight="1">
      <c r="A26" s="28"/>
      <c r="B26" s="28"/>
      <c r="C26" s="28"/>
      <c r="D26" s="28"/>
      <c r="E26" s="28"/>
      <c r="F26" s="28"/>
      <c r="G26" s="28"/>
      <c r="H26" s="28"/>
      <c r="I26" s="28"/>
      <c r="J26" s="28"/>
      <c r="K26" s="28"/>
      <c r="L26" s="28"/>
      <c r="M26" s="28"/>
      <c r="N26" s="28"/>
      <c r="O26" s="28"/>
      <c r="P26" s="28"/>
      <c r="Q26" s="28"/>
      <c r="R26" s="28"/>
      <c r="S26" s="28"/>
      <c r="T26" s="28"/>
      <c r="U26" s="28"/>
      <c r="V26" s="28"/>
      <c r="W26" s="28"/>
      <c r="X26" s="28"/>
      <c r="Y26" s="28"/>
      <c r="Z26" s="28"/>
      <c r="AA26" s="28"/>
      <c r="AB26" s="28"/>
      <c r="AC26" s="28"/>
      <c r="AD26" s="28"/>
      <c r="AE26" s="28"/>
      <c r="AF26" s="28"/>
      <c r="AG26" s="28"/>
      <c r="AH26" s="28"/>
      <c r="AI26" s="28"/>
      <c r="AJ26" s="28"/>
    </row>
    <row r="27" ht="15.75" customHeight="1">
      <c r="A27" s="9"/>
      <c r="B27" s="9"/>
      <c r="C27" s="9"/>
      <c r="D27" s="9"/>
      <c r="E27" s="9"/>
      <c r="F27" s="9"/>
      <c r="G27" s="9"/>
      <c r="H27" s="9"/>
      <c r="I27" s="9"/>
      <c r="J27" s="9"/>
      <c r="K27" s="9"/>
      <c r="L27" s="9"/>
      <c r="M27" s="9"/>
      <c r="N27" s="9"/>
      <c r="O27" s="9"/>
      <c r="P27" s="9"/>
      <c r="Q27" s="9"/>
    </row>
    <row r="28" ht="15.75" customHeight="1">
      <c r="A28" s="29" t="s">
        <v>69</v>
      </c>
      <c r="B28" s="29"/>
      <c r="C28" s="29"/>
      <c r="D28" s="29"/>
      <c r="E28" s="29"/>
      <c r="F28" s="29"/>
      <c r="G28" s="29"/>
      <c r="H28" s="29"/>
      <c r="I28" s="29"/>
      <c r="J28" s="29"/>
      <c r="K28" s="29"/>
      <c r="L28" s="29"/>
      <c r="M28" s="29"/>
      <c r="N28" s="29"/>
      <c r="O28" s="29"/>
      <c r="P28" s="29"/>
      <c r="Q28" s="29"/>
    </row>
    <row r="29" ht="15.75" customHeight="1">
      <c r="A29" s="29" t="s">
        <v>72</v>
      </c>
      <c r="B29" s="29"/>
      <c r="C29" s="29"/>
      <c r="D29" s="29"/>
      <c r="E29" s="29"/>
      <c r="F29" s="29"/>
      <c r="G29" s="29"/>
      <c r="H29" s="29"/>
      <c r="I29" s="29"/>
      <c r="J29" s="29"/>
      <c r="K29" s="29"/>
      <c r="L29" s="29"/>
      <c r="M29" s="29"/>
      <c r="N29" s="29"/>
      <c r="O29" s="29"/>
      <c r="P29" s="29"/>
      <c r="Q29" s="29"/>
    </row>
    <row r="30" ht="15.75" customHeight="1">
      <c r="A30" s="29" t="s">
        <v>421</v>
      </c>
      <c r="B30" s="29"/>
      <c r="C30" s="29"/>
      <c r="D30" s="29"/>
      <c r="E30" s="29"/>
      <c r="F30" s="29"/>
      <c r="G30" s="29"/>
      <c r="H30" s="29"/>
      <c r="I30" s="29"/>
      <c r="J30" s="29"/>
      <c r="K30" s="29"/>
      <c r="L30" s="29"/>
      <c r="M30" s="29"/>
      <c r="N30" s="29"/>
      <c r="O30" s="29"/>
      <c r="P30" s="29"/>
      <c r="Q30" s="29"/>
    </row>
    <row r="31" ht="15.75" customHeight="1">
      <c r="A31" s="32" t="s">
        <v>76</v>
      </c>
      <c r="M31" s="32"/>
      <c r="N31" s="32"/>
      <c r="O31" s="32"/>
      <c r="P31" s="32"/>
      <c r="Q31" s="32"/>
    </row>
    <row r="32" ht="15.75" customHeight="1">
      <c r="A32" s="32"/>
      <c r="M32" s="32"/>
      <c r="N32" s="32"/>
      <c r="O32" s="32"/>
      <c r="P32" s="32"/>
      <c r="Q32" s="32"/>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2">
    <mergeCell ref="K5:L5"/>
    <mergeCell ref="M5:N5"/>
    <mergeCell ref="A31:L31"/>
    <mergeCell ref="A32:L32"/>
    <mergeCell ref="O5:P5"/>
    <mergeCell ref="Q5:R5"/>
    <mergeCell ref="S5:T5"/>
    <mergeCell ref="U5:V5"/>
    <mergeCell ref="W5:X5"/>
    <mergeCell ref="Y5:Z5"/>
    <mergeCell ref="AA5:AB5"/>
    <mergeCell ref="AC5:AD5"/>
    <mergeCell ref="AE5:AF5"/>
    <mergeCell ref="AG5:AH5"/>
    <mergeCell ref="A4:A6"/>
    <mergeCell ref="B4:B6"/>
    <mergeCell ref="C4:AJ4"/>
    <mergeCell ref="C5:D5"/>
    <mergeCell ref="E5:F5"/>
    <mergeCell ref="G5:H5"/>
    <mergeCell ref="I5:J5"/>
    <mergeCell ref="AI5:AJ5"/>
  </mergeCells>
  <hyperlinks>
    <hyperlink display="BACK TO LIST" location="LIST!A1" ref="A1"/>
  </hyperlinks>
  <printOptions/>
  <pageMargins bottom="0.75" footer="0.0" header="0.0" left="0.7" right="0.7" top="0.75"/>
  <pageSetup orientation="landscape"/>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7"/>
    <pageSetUpPr/>
  </sheetPr>
  <sheetViews>
    <sheetView workbookViewId="0"/>
  </sheetViews>
  <sheetFormatPr customHeight="1" defaultColWidth="12.63" defaultRowHeight="15.0"/>
  <cols>
    <col customWidth="1" min="1" max="1" width="39.0"/>
    <col customWidth="1" min="2" max="12" width="14.0"/>
    <col customWidth="1" min="13" max="26" width="8.63"/>
  </cols>
  <sheetData>
    <row r="1">
      <c r="A1" s="5" t="s">
        <v>1</v>
      </c>
    </row>
    <row r="2">
      <c r="A2" s="6" t="s">
        <v>388</v>
      </c>
      <c r="B2" s="6"/>
      <c r="C2" s="6"/>
      <c r="D2" s="6"/>
      <c r="E2" s="53"/>
      <c r="F2" s="53"/>
      <c r="G2" s="53"/>
      <c r="H2" s="53"/>
      <c r="K2" s="53"/>
      <c r="L2" s="53"/>
    </row>
    <row r="3">
      <c r="A3" s="8"/>
      <c r="B3" s="9"/>
      <c r="C3" s="9"/>
      <c r="D3" s="9"/>
      <c r="E3" s="9"/>
      <c r="F3" s="9"/>
      <c r="G3" s="9"/>
      <c r="H3" s="9"/>
      <c r="I3" s="9"/>
      <c r="J3" s="9"/>
      <c r="K3" s="9"/>
      <c r="L3" s="9"/>
    </row>
    <row r="4">
      <c r="A4" s="10" t="s">
        <v>13</v>
      </c>
      <c r="B4" s="21" t="s">
        <v>370</v>
      </c>
      <c r="C4" s="42" t="s">
        <v>390</v>
      </c>
      <c r="D4" s="14"/>
      <c r="E4" s="14"/>
      <c r="F4" s="14"/>
      <c r="G4" s="14"/>
      <c r="H4" s="14"/>
      <c r="I4" s="14"/>
      <c r="J4" s="14"/>
      <c r="K4" s="14"/>
      <c r="L4" s="15"/>
    </row>
    <row r="5" ht="28.5" customHeight="1">
      <c r="A5" s="17"/>
      <c r="B5" s="17"/>
      <c r="C5" s="13" t="s">
        <v>391</v>
      </c>
      <c r="D5" s="15"/>
      <c r="E5" s="13" t="s">
        <v>392</v>
      </c>
      <c r="F5" s="15"/>
      <c r="G5" s="13" t="s">
        <v>393</v>
      </c>
      <c r="H5" s="15"/>
      <c r="I5" s="13" t="s">
        <v>394</v>
      </c>
      <c r="J5" s="15"/>
      <c r="K5" s="13" t="s">
        <v>170</v>
      </c>
      <c r="L5" s="15"/>
    </row>
    <row r="6" ht="21.75" customHeight="1">
      <c r="A6" s="18"/>
      <c r="B6" s="18"/>
      <c r="C6" s="24" t="s">
        <v>37</v>
      </c>
      <c r="D6" s="24" t="s">
        <v>39</v>
      </c>
      <c r="E6" s="24" t="s">
        <v>37</v>
      </c>
      <c r="F6" s="24" t="s">
        <v>39</v>
      </c>
      <c r="G6" s="24" t="s">
        <v>37</v>
      </c>
      <c r="H6" s="24" t="s">
        <v>39</v>
      </c>
      <c r="I6" s="24" t="s">
        <v>37</v>
      </c>
      <c r="J6" s="24" t="s">
        <v>39</v>
      </c>
      <c r="K6" s="24" t="s">
        <v>37</v>
      </c>
      <c r="L6" s="24" t="s">
        <v>39</v>
      </c>
    </row>
    <row r="7">
      <c r="A7" s="16"/>
      <c r="B7" s="20"/>
      <c r="C7" s="61"/>
      <c r="D7" s="61"/>
      <c r="E7" s="61"/>
      <c r="F7" s="61"/>
      <c r="G7" s="61"/>
      <c r="H7" s="61"/>
      <c r="I7" s="61"/>
      <c r="J7" s="61"/>
      <c r="K7" s="61"/>
      <c r="L7" s="61"/>
    </row>
    <row r="8">
      <c r="A8" s="22" t="s">
        <v>33</v>
      </c>
      <c r="B8" s="23">
        <v>937530.0</v>
      </c>
      <c r="C8" s="62">
        <v>120283.0</v>
      </c>
      <c r="D8" s="63">
        <f t="shared" ref="D8:D25" si="1">C8/$B8*100</f>
        <v>12.82977611</v>
      </c>
      <c r="E8" s="62">
        <v>190536.0</v>
      </c>
      <c r="F8" s="63">
        <f t="shared" ref="F8:F25" si="2">E8/$B8*100</f>
        <v>20.32318966</v>
      </c>
      <c r="G8" s="62">
        <v>69730.0</v>
      </c>
      <c r="H8" s="63">
        <f t="shared" ref="H8:H25" si="3">G8/$B8*100</f>
        <v>7.437628663</v>
      </c>
      <c r="I8" s="62">
        <v>797328.0</v>
      </c>
      <c r="J8" s="63">
        <f t="shared" ref="J8:J25" si="4">I8/$B8*100</f>
        <v>85.04559854</v>
      </c>
      <c r="K8" s="62">
        <v>29331.0</v>
      </c>
      <c r="L8" s="63">
        <f t="shared" ref="L8:L25" si="5">K8/$B8*100</f>
        <v>3.128539887</v>
      </c>
    </row>
    <row r="9">
      <c r="A9" s="25" t="s">
        <v>38</v>
      </c>
      <c r="B9" s="26">
        <v>155993.0</v>
      </c>
      <c r="C9" s="64">
        <v>43015.0</v>
      </c>
      <c r="D9" s="66">
        <f t="shared" si="1"/>
        <v>27.57495529</v>
      </c>
      <c r="E9" s="64">
        <v>62023.0</v>
      </c>
      <c r="F9" s="66">
        <f t="shared" si="2"/>
        <v>39.76011744</v>
      </c>
      <c r="G9" s="64">
        <v>23924.0</v>
      </c>
      <c r="H9" s="66">
        <f t="shared" si="3"/>
        <v>15.33658562</v>
      </c>
      <c r="I9" s="64">
        <v>127000.0</v>
      </c>
      <c r="J9" s="66">
        <f t="shared" si="4"/>
        <v>81.4139096</v>
      </c>
      <c r="K9" s="64">
        <v>5470.0</v>
      </c>
      <c r="L9" s="66">
        <f t="shared" si="5"/>
        <v>3.506567602</v>
      </c>
    </row>
    <row r="10">
      <c r="A10" s="25" t="s">
        <v>41</v>
      </c>
      <c r="B10" s="26">
        <v>23960.0</v>
      </c>
      <c r="C10" s="64">
        <v>3873.0</v>
      </c>
      <c r="D10" s="66">
        <f t="shared" si="1"/>
        <v>16.16444073</v>
      </c>
      <c r="E10" s="64">
        <v>2029.0</v>
      </c>
      <c r="F10" s="66">
        <f t="shared" si="2"/>
        <v>8.468280467</v>
      </c>
      <c r="G10" s="64">
        <v>3377.0</v>
      </c>
      <c r="H10" s="66">
        <f t="shared" si="3"/>
        <v>14.09432387</v>
      </c>
      <c r="I10" s="64">
        <v>20096.0</v>
      </c>
      <c r="J10" s="66">
        <f t="shared" si="4"/>
        <v>83.87312187</v>
      </c>
      <c r="K10" s="64">
        <v>1706.0</v>
      </c>
      <c r="L10" s="66">
        <f t="shared" si="5"/>
        <v>7.120200334</v>
      </c>
    </row>
    <row r="11">
      <c r="A11" s="25" t="s">
        <v>43</v>
      </c>
      <c r="B11" s="26">
        <v>24517.0</v>
      </c>
      <c r="C11" s="64">
        <v>2007.0</v>
      </c>
      <c r="D11" s="66">
        <f t="shared" si="1"/>
        <v>8.186156544</v>
      </c>
      <c r="E11" s="64">
        <v>6008.0</v>
      </c>
      <c r="F11" s="66">
        <f t="shared" si="2"/>
        <v>24.5054452</v>
      </c>
      <c r="G11" s="64">
        <v>11770.0</v>
      </c>
      <c r="H11" s="66">
        <f t="shared" si="3"/>
        <v>48.007505</v>
      </c>
      <c r="I11" s="64">
        <v>17111.0</v>
      </c>
      <c r="J11" s="66">
        <f t="shared" si="4"/>
        <v>69.79238895</v>
      </c>
      <c r="K11" s="64">
        <v>0.0</v>
      </c>
      <c r="L11" s="66">
        <f t="shared" si="5"/>
        <v>0</v>
      </c>
    </row>
    <row r="12">
      <c r="A12" s="25" t="s">
        <v>44</v>
      </c>
      <c r="B12" s="26">
        <v>31847.0</v>
      </c>
      <c r="C12" s="64">
        <v>1339.0</v>
      </c>
      <c r="D12" s="66">
        <f t="shared" si="1"/>
        <v>4.204477659</v>
      </c>
      <c r="E12" s="64">
        <v>3618.0</v>
      </c>
      <c r="F12" s="66">
        <f t="shared" si="2"/>
        <v>11.36056771</v>
      </c>
      <c r="G12" s="64">
        <v>2892.0</v>
      </c>
      <c r="H12" s="66">
        <f t="shared" si="3"/>
        <v>9.08091814</v>
      </c>
      <c r="I12" s="64">
        <v>30068.0</v>
      </c>
      <c r="J12" s="66">
        <f t="shared" si="4"/>
        <v>94.41391654</v>
      </c>
      <c r="K12" s="64">
        <v>1779.0</v>
      </c>
      <c r="L12" s="66">
        <f t="shared" si="5"/>
        <v>5.586083462</v>
      </c>
    </row>
    <row r="13">
      <c r="A13" s="25" t="s">
        <v>46</v>
      </c>
      <c r="B13" s="26">
        <v>103288.0</v>
      </c>
      <c r="C13" s="64">
        <v>20740.0</v>
      </c>
      <c r="D13" s="66">
        <f t="shared" si="1"/>
        <v>20.07977693</v>
      </c>
      <c r="E13" s="64">
        <v>34977.0</v>
      </c>
      <c r="F13" s="66">
        <f t="shared" si="2"/>
        <v>33.86356595</v>
      </c>
      <c r="G13" s="64">
        <v>2647.0</v>
      </c>
      <c r="H13" s="66">
        <f t="shared" si="3"/>
        <v>2.562737201</v>
      </c>
      <c r="I13" s="64">
        <v>79026.0</v>
      </c>
      <c r="J13" s="66">
        <f t="shared" si="4"/>
        <v>76.51034002</v>
      </c>
      <c r="K13" s="64">
        <v>3385.0</v>
      </c>
      <c r="L13" s="66">
        <f t="shared" si="5"/>
        <v>3.27724421</v>
      </c>
    </row>
    <row r="14">
      <c r="A14" s="25" t="s">
        <v>48</v>
      </c>
      <c r="B14" s="26">
        <v>156987.0</v>
      </c>
      <c r="C14" s="64">
        <v>12338.0</v>
      </c>
      <c r="D14" s="66">
        <f t="shared" si="1"/>
        <v>7.859249492</v>
      </c>
      <c r="E14" s="64">
        <v>18228.0</v>
      </c>
      <c r="F14" s="66">
        <f t="shared" si="2"/>
        <v>11.61115252</v>
      </c>
      <c r="G14" s="64">
        <v>5973.0</v>
      </c>
      <c r="H14" s="66">
        <f t="shared" si="3"/>
        <v>3.804773644</v>
      </c>
      <c r="I14" s="64">
        <v>151015.0</v>
      </c>
      <c r="J14" s="66">
        <f t="shared" si="4"/>
        <v>96.19586335</v>
      </c>
      <c r="K14" s="64">
        <v>0.0</v>
      </c>
      <c r="L14" s="66">
        <f t="shared" si="5"/>
        <v>0</v>
      </c>
    </row>
    <row r="15">
      <c r="A15" s="25" t="s">
        <v>50</v>
      </c>
      <c r="B15" s="26">
        <v>26747.0</v>
      </c>
      <c r="C15" s="64">
        <v>3776.0</v>
      </c>
      <c r="D15" s="66">
        <f t="shared" si="1"/>
        <v>14.11747112</v>
      </c>
      <c r="E15" s="64">
        <v>1923.0</v>
      </c>
      <c r="F15" s="66">
        <f t="shared" si="2"/>
        <v>7.189591356</v>
      </c>
      <c r="G15" s="64">
        <v>0.0</v>
      </c>
      <c r="H15" s="66">
        <f t="shared" si="3"/>
        <v>0</v>
      </c>
      <c r="I15" s="64">
        <v>22842.0</v>
      </c>
      <c r="J15" s="66">
        <f t="shared" si="4"/>
        <v>85.4002318</v>
      </c>
      <c r="K15" s="64">
        <v>2474.0</v>
      </c>
      <c r="L15" s="66">
        <f t="shared" si="5"/>
        <v>9.249635473</v>
      </c>
    </row>
    <row r="16">
      <c r="A16" s="25" t="s">
        <v>51</v>
      </c>
      <c r="B16" s="26">
        <v>77910.0</v>
      </c>
      <c r="C16" s="64">
        <v>5567.0</v>
      </c>
      <c r="D16" s="66">
        <f t="shared" si="1"/>
        <v>7.145424207</v>
      </c>
      <c r="E16" s="64">
        <v>11792.0</v>
      </c>
      <c r="F16" s="66">
        <f t="shared" si="2"/>
        <v>15.13541266</v>
      </c>
      <c r="G16" s="64">
        <v>6010.0</v>
      </c>
      <c r="H16" s="66">
        <f t="shared" si="3"/>
        <v>7.714029008</v>
      </c>
      <c r="I16" s="64">
        <v>58421.0</v>
      </c>
      <c r="J16" s="66">
        <f t="shared" si="4"/>
        <v>74.98523938</v>
      </c>
      <c r="K16" s="64">
        <v>7021.0</v>
      </c>
      <c r="L16" s="66">
        <f t="shared" si="5"/>
        <v>9.011680144</v>
      </c>
    </row>
    <row r="17">
      <c r="A17" s="25" t="s">
        <v>53</v>
      </c>
      <c r="B17" s="26">
        <v>33828.0</v>
      </c>
      <c r="C17" s="64">
        <v>0.0</v>
      </c>
      <c r="D17" s="66">
        <f t="shared" si="1"/>
        <v>0</v>
      </c>
      <c r="E17" s="64">
        <v>11466.0</v>
      </c>
      <c r="F17" s="66">
        <f t="shared" si="2"/>
        <v>33.89499823</v>
      </c>
      <c r="G17" s="64">
        <v>2075.0</v>
      </c>
      <c r="H17" s="66">
        <f t="shared" si="3"/>
        <v>6.133971858</v>
      </c>
      <c r="I17" s="64">
        <v>31376.0</v>
      </c>
      <c r="J17" s="66">
        <f t="shared" si="4"/>
        <v>92.75156675</v>
      </c>
      <c r="K17" s="64">
        <v>0.0</v>
      </c>
      <c r="L17" s="66">
        <f t="shared" si="5"/>
        <v>0</v>
      </c>
    </row>
    <row r="18">
      <c r="A18" s="25" t="s">
        <v>54</v>
      </c>
      <c r="B18" s="26">
        <v>91359.0</v>
      </c>
      <c r="C18" s="64">
        <v>7884.0</v>
      </c>
      <c r="D18" s="66">
        <f t="shared" si="1"/>
        <v>8.629691656</v>
      </c>
      <c r="E18" s="64">
        <v>12420.0</v>
      </c>
      <c r="F18" s="66">
        <f t="shared" si="2"/>
        <v>13.59471973</v>
      </c>
      <c r="G18" s="64">
        <v>4969.0</v>
      </c>
      <c r="H18" s="66">
        <f t="shared" si="3"/>
        <v>5.438982476</v>
      </c>
      <c r="I18" s="64">
        <v>86017.0</v>
      </c>
      <c r="J18" s="66">
        <f t="shared" si="4"/>
        <v>94.1527381</v>
      </c>
      <c r="K18" s="64">
        <v>0.0</v>
      </c>
      <c r="L18" s="66">
        <f t="shared" si="5"/>
        <v>0</v>
      </c>
    </row>
    <row r="19">
      <c r="A19" s="25" t="s">
        <v>56</v>
      </c>
      <c r="B19" s="26">
        <v>42722.0</v>
      </c>
      <c r="C19" s="64">
        <v>4805.0</v>
      </c>
      <c r="D19" s="66">
        <f t="shared" si="1"/>
        <v>11.24713262</v>
      </c>
      <c r="E19" s="64">
        <v>7282.0</v>
      </c>
      <c r="F19" s="66">
        <f t="shared" si="2"/>
        <v>17.04508216</v>
      </c>
      <c r="G19" s="64">
        <v>1722.0</v>
      </c>
      <c r="H19" s="66">
        <f t="shared" si="3"/>
        <v>4.030710173</v>
      </c>
      <c r="I19" s="64">
        <v>30385.0</v>
      </c>
      <c r="J19" s="66">
        <f t="shared" si="4"/>
        <v>71.12260662</v>
      </c>
      <c r="K19" s="64">
        <v>4287.0</v>
      </c>
      <c r="L19" s="66">
        <f t="shared" si="5"/>
        <v>10.03464257</v>
      </c>
    </row>
    <row r="20">
      <c r="A20" s="25" t="s">
        <v>57</v>
      </c>
      <c r="B20" s="26">
        <v>14231.0</v>
      </c>
      <c r="C20" s="64">
        <v>2225.0</v>
      </c>
      <c r="D20" s="66">
        <f t="shared" si="1"/>
        <v>15.6348816</v>
      </c>
      <c r="E20" s="64">
        <v>3658.0</v>
      </c>
      <c r="F20" s="66">
        <f t="shared" si="2"/>
        <v>25.70444804</v>
      </c>
      <c r="G20" s="64">
        <v>2225.0</v>
      </c>
      <c r="H20" s="66">
        <f t="shared" si="3"/>
        <v>15.6348816</v>
      </c>
      <c r="I20" s="64">
        <v>10573.0</v>
      </c>
      <c r="J20" s="66">
        <f t="shared" si="4"/>
        <v>74.29555196</v>
      </c>
      <c r="K20" s="64">
        <v>0.0</v>
      </c>
      <c r="L20" s="66">
        <f t="shared" si="5"/>
        <v>0</v>
      </c>
    </row>
    <row r="21" ht="15.75" customHeight="1">
      <c r="A21" s="25" t="s">
        <v>59</v>
      </c>
      <c r="B21" s="26">
        <v>58813.0</v>
      </c>
      <c r="C21" s="64">
        <v>9372.0</v>
      </c>
      <c r="D21" s="66">
        <f t="shared" si="1"/>
        <v>15.93525241</v>
      </c>
      <c r="E21" s="64">
        <v>5144.0</v>
      </c>
      <c r="F21" s="66">
        <f t="shared" si="2"/>
        <v>8.746365599</v>
      </c>
      <c r="G21" s="64">
        <v>0.0</v>
      </c>
      <c r="H21" s="66">
        <f t="shared" si="3"/>
        <v>0</v>
      </c>
      <c r="I21" s="64">
        <v>48168.0</v>
      </c>
      <c r="J21" s="66">
        <f t="shared" si="4"/>
        <v>81.90026015</v>
      </c>
      <c r="K21" s="64">
        <v>0.0</v>
      </c>
      <c r="L21" s="66">
        <f t="shared" si="5"/>
        <v>0</v>
      </c>
    </row>
    <row r="22" ht="15.75" customHeight="1">
      <c r="A22" s="25" t="s">
        <v>60</v>
      </c>
      <c r="B22" s="26">
        <v>23315.0</v>
      </c>
      <c r="C22" s="64">
        <v>1857.0</v>
      </c>
      <c r="D22" s="66">
        <f t="shared" si="1"/>
        <v>7.964829509</v>
      </c>
      <c r="E22" s="64">
        <v>0.0</v>
      </c>
      <c r="F22" s="66">
        <f t="shared" si="2"/>
        <v>0</v>
      </c>
      <c r="G22" s="64">
        <v>0.0</v>
      </c>
      <c r="H22" s="66">
        <f t="shared" si="3"/>
        <v>0</v>
      </c>
      <c r="I22" s="64">
        <v>21458.0</v>
      </c>
      <c r="J22" s="66">
        <f t="shared" si="4"/>
        <v>92.03517049</v>
      </c>
      <c r="K22" s="64">
        <v>0.0</v>
      </c>
      <c r="L22" s="66">
        <f t="shared" si="5"/>
        <v>0</v>
      </c>
    </row>
    <row r="23" ht="15.75" customHeight="1">
      <c r="A23" s="25" t="s">
        <v>63</v>
      </c>
      <c r="B23" s="26">
        <v>54536.0</v>
      </c>
      <c r="C23" s="64">
        <v>0.0</v>
      </c>
      <c r="D23" s="66">
        <f t="shared" si="1"/>
        <v>0</v>
      </c>
      <c r="E23" s="64">
        <v>9189.0</v>
      </c>
      <c r="F23" s="66">
        <f t="shared" si="2"/>
        <v>16.84942057</v>
      </c>
      <c r="G23" s="64">
        <v>2147.0</v>
      </c>
      <c r="H23" s="66">
        <f t="shared" si="3"/>
        <v>3.936849054</v>
      </c>
      <c r="I23" s="64">
        <v>51015.0</v>
      </c>
      <c r="J23" s="66">
        <f t="shared" si="4"/>
        <v>93.54371424</v>
      </c>
      <c r="K23" s="64">
        <v>0.0</v>
      </c>
      <c r="L23" s="66">
        <f t="shared" si="5"/>
        <v>0</v>
      </c>
    </row>
    <row r="24" ht="15.75" customHeight="1">
      <c r="A24" s="25" t="s">
        <v>64</v>
      </c>
      <c r="B24" s="26">
        <v>12309.0</v>
      </c>
      <c r="C24" s="64">
        <v>0.0</v>
      </c>
      <c r="D24" s="66">
        <f t="shared" si="1"/>
        <v>0</v>
      </c>
      <c r="E24" s="64">
        <v>778.0</v>
      </c>
      <c r="F24" s="66">
        <f t="shared" si="2"/>
        <v>6.320578439</v>
      </c>
      <c r="G24" s="64">
        <v>0.0</v>
      </c>
      <c r="H24" s="66">
        <f t="shared" si="3"/>
        <v>0</v>
      </c>
      <c r="I24" s="64">
        <v>11530.0</v>
      </c>
      <c r="J24" s="66">
        <f t="shared" si="4"/>
        <v>93.67129742</v>
      </c>
      <c r="K24" s="64">
        <v>754.0</v>
      </c>
      <c r="L24" s="66">
        <f t="shared" si="5"/>
        <v>6.125599155</v>
      </c>
    </row>
    <row r="25" ht="15.75" customHeight="1">
      <c r="A25" s="25" t="s">
        <v>65</v>
      </c>
      <c r="B25" s="26">
        <v>5167.0</v>
      </c>
      <c r="C25" s="64">
        <v>1485.0</v>
      </c>
      <c r="D25" s="66">
        <f t="shared" si="1"/>
        <v>28.74008129</v>
      </c>
      <c r="E25" s="64">
        <v>0.0</v>
      </c>
      <c r="F25" s="66">
        <f t="shared" si="2"/>
        <v>0</v>
      </c>
      <c r="G25" s="64">
        <v>0.0</v>
      </c>
      <c r="H25" s="66">
        <f t="shared" si="3"/>
        <v>0</v>
      </c>
      <c r="I25" s="64">
        <v>1227.0</v>
      </c>
      <c r="J25" s="66">
        <f t="shared" si="4"/>
        <v>23.74685504</v>
      </c>
      <c r="K25" s="64">
        <v>2455.0</v>
      </c>
      <c r="L25" s="66">
        <f t="shared" si="5"/>
        <v>47.51306367</v>
      </c>
    </row>
    <row r="26" ht="15.75" customHeight="1">
      <c r="A26" s="28"/>
      <c r="B26" s="28"/>
      <c r="C26" s="28"/>
      <c r="D26" s="28"/>
      <c r="E26" s="28"/>
      <c r="F26" s="28"/>
      <c r="G26" s="28"/>
      <c r="H26" s="28"/>
      <c r="I26" s="28"/>
      <c r="J26" s="28"/>
      <c r="K26" s="28"/>
      <c r="L26" s="28"/>
    </row>
    <row r="27" ht="15.75" customHeight="1">
      <c r="A27" s="9"/>
      <c r="B27" s="9"/>
      <c r="C27" s="9"/>
      <c r="D27" s="9"/>
      <c r="E27" s="9"/>
      <c r="F27" s="9"/>
      <c r="G27" s="9"/>
      <c r="H27" s="9"/>
      <c r="I27" s="9"/>
      <c r="J27" s="9"/>
      <c r="K27" s="9"/>
      <c r="L27" s="9"/>
    </row>
    <row r="28" ht="15.75" customHeight="1">
      <c r="A28" s="29" t="s">
        <v>69</v>
      </c>
      <c r="B28" s="29"/>
      <c r="C28" s="29"/>
      <c r="D28" s="29"/>
      <c r="E28" s="29"/>
      <c r="F28" s="29"/>
      <c r="G28" s="29"/>
      <c r="H28" s="29"/>
      <c r="I28" s="29"/>
      <c r="J28" s="29"/>
      <c r="K28" s="29"/>
      <c r="L28" s="29"/>
    </row>
    <row r="29" ht="15.75" customHeight="1">
      <c r="A29" s="29" t="s">
        <v>72</v>
      </c>
      <c r="B29" s="29"/>
      <c r="C29" s="29"/>
      <c r="D29" s="29"/>
      <c r="E29" s="29"/>
      <c r="F29" s="29"/>
      <c r="G29" s="29"/>
      <c r="H29" s="29"/>
      <c r="I29" s="29"/>
      <c r="J29" s="29"/>
      <c r="K29" s="29"/>
      <c r="L29" s="29"/>
    </row>
    <row r="30" ht="15.75" customHeight="1">
      <c r="A30" s="29" t="s">
        <v>400</v>
      </c>
      <c r="B30" s="29"/>
      <c r="C30" s="29"/>
      <c r="D30" s="29"/>
      <c r="E30" s="29"/>
      <c r="F30" s="29"/>
      <c r="G30" s="29"/>
      <c r="H30" s="29"/>
      <c r="I30" s="29"/>
      <c r="J30" s="29"/>
      <c r="K30" s="29"/>
      <c r="L30" s="29"/>
    </row>
    <row r="31" ht="15.75" customHeight="1">
      <c r="A31" s="32" t="s">
        <v>76</v>
      </c>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K5:L5"/>
    <mergeCell ref="A31:L31"/>
    <mergeCell ref="A4:A6"/>
    <mergeCell ref="B4:B6"/>
    <mergeCell ref="C4:L4"/>
    <mergeCell ref="C5:D5"/>
    <mergeCell ref="E5:F5"/>
    <mergeCell ref="G5:H5"/>
    <mergeCell ref="I5:J5"/>
  </mergeCells>
  <hyperlinks>
    <hyperlink display="BACK TO LIST" location="LIST!A1" ref="A1"/>
  </hyperlinks>
  <printOptions/>
  <pageMargins bottom="0.75" footer="0.0" header="0.0" left="0.7" right="0.7" top="0.75"/>
  <pageSetup orientation="landscape"/>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7"/>
    <pageSetUpPr/>
  </sheetPr>
  <sheetViews>
    <sheetView workbookViewId="0"/>
  </sheetViews>
  <sheetFormatPr customHeight="1" defaultColWidth="12.63" defaultRowHeight="15.0"/>
  <cols>
    <col customWidth="1" min="1" max="1" width="39.0"/>
    <col customWidth="1" min="2" max="12" width="14.0"/>
    <col customWidth="1" min="13" max="26" width="8.63"/>
  </cols>
  <sheetData>
    <row r="1">
      <c r="A1" s="5" t="s">
        <v>1</v>
      </c>
    </row>
    <row r="2">
      <c r="A2" s="6" t="s">
        <v>389</v>
      </c>
      <c r="B2" s="6"/>
      <c r="C2" s="6"/>
      <c r="D2" s="6"/>
      <c r="E2" s="53"/>
      <c r="F2" s="53"/>
      <c r="G2" s="53"/>
      <c r="H2" s="53"/>
      <c r="K2" s="53"/>
      <c r="L2" s="53"/>
    </row>
    <row r="3">
      <c r="A3" s="8"/>
      <c r="B3" s="9"/>
      <c r="C3" s="9"/>
      <c r="D3" s="9"/>
      <c r="E3" s="9"/>
      <c r="F3" s="9"/>
      <c r="G3" s="9"/>
      <c r="H3" s="9"/>
      <c r="I3" s="9"/>
      <c r="J3" s="9"/>
      <c r="K3" s="9"/>
      <c r="L3" s="9"/>
    </row>
    <row r="4">
      <c r="A4" s="10" t="s">
        <v>13</v>
      </c>
      <c r="B4" s="21" t="s">
        <v>370</v>
      </c>
      <c r="C4" s="42" t="s">
        <v>395</v>
      </c>
      <c r="D4" s="14"/>
      <c r="E4" s="14"/>
      <c r="F4" s="14"/>
      <c r="G4" s="14"/>
      <c r="H4" s="14"/>
      <c r="I4" s="14"/>
      <c r="J4" s="14"/>
      <c r="K4" s="14"/>
      <c r="L4" s="15"/>
    </row>
    <row r="5" ht="39.0" customHeight="1">
      <c r="A5" s="17"/>
      <c r="B5" s="17"/>
      <c r="C5" s="13" t="s">
        <v>396</v>
      </c>
      <c r="D5" s="15"/>
      <c r="E5" s="13" t="s">
        <v>397</v>
      </c>
      <c r="F5" s="15"/>
      <c r="G5" s="13" t="s">
        <v>398</v>
      </c>
      <c r="H5" s="15"/>
      <c r="I5" s="13" t="s">
        <v>399</v>
      </c>
      <c r="J5" s="15"/>
      <c r="K5" s="13" t="s">
        <v>170</v>
      </c>
      <c r="L5" s="15"/>
    </row>
    <row r="6" ht="21.75" customHeight="1">
      <c r="A6" s="18"/>
      <c r="B6" s="18"/>
      <c r="C6" s="24" t="s">
        <v>37</v>
      </c>
      <c r="D6" s="24" t="s">
        <v>39</v>
      </c>
      <c r="E6" s="24" t="s">
        <v>37</v>
      </c>
      <c r="F6" s="24" t="s">
        <v>39</v>
      </c>
      <c r="G6" s="24" t="s">
        <v>37</v>
      </c>
      <c r="H6" s="24" t="s">
        <v>39</v>
      </c>
      <c r="I6" s="24" t="s">
        <v>37</v>
      </c>
      <c r="J6" s="24" t="s">
        <v>39</v>
      </c>
      <c r="K6" s="24" t="s">
        <v>37</v>
      </c>
      <c r="L6" s="24" t="s">
        <v>39</v>
      </c>
    </row>
    <row r="7">
      <c r="A7" s="16"/>
      <c r="B7" s="20"/>
      <c r="C7" s="61"/>
      <c r="D7" s="61"/>
      <c r="E7" s="61"/>
      <c r="F7" s="61"/>
      <c r="G7" s="61"/>
      <c r="H7" s="61"/>
      <c r="I7" s="61"/>
      <c r="J7" s="61"/>
      <c r="K7" s="61"/>
      <c r="L7" s="61"/>
    </row>
    <row r="8">
      <c r="A8" s="22" t="s">
        <v>33</v>
      </c>
      <c r="B8" s="23">
        <v>937530.0</v>
      </c>
      <c r="C8" s="62">
        <v>121395.0</v>
      </c>
      <c r="D8" s="65">
        <f t="shared" ref="D8:D25" si="1">C8/$B8*100</f>
        <v>12.94838565</v>
      </c>
      <c r="E8" s="62">
        <v>566179.0</v>
      </c>
      <c r="F8" s="65">
        <f t="shared" ref="F8:F25" si="2">E8/$B8*100</f>
        <v>60.39049417</v>
      </c>
      <c r="G8" s="62">
        <v>100824.0</v>
      </c>
      <c r="H8" s="65">
        <f t="shared" ref="H8:H25" si="3">G8/$B8*100</f>
        <v>10.75421587</v>
      </c>
      <c r="I8" s="62">
        <v>826131.0</v>
      </c>
      <c r="J8" s="65">
        <f t="shared" ref="J8:J25" si="4">I8/$B8*100</f>
        <v>88.11782023</v>
      </c>
      <c r="K8" s="62">
        <v>3796.0</v>
      </c>
      <c r="L8" s="65">
        <f t="shared" ref="L8:L25" si="5">K8/$B8*100</f>
        <v>0.4048937101</v>
      </c>
    </row>
    <row r="9">
      <c r="A9" s="25" t="s">
        <v>38</v>
      </c>
      <c r="B9" s="26">
        <v>155993.0</v>
      </c>
      <c r="C9" s="64">
        <v>34829.0</v>
      </c>
      <c r="D9" s="67">
        <f t="shared" si="1"/>
        <v>22.32728392</v>
      </c>
      <c r="E9" s="64">
        <v>126462.0</v>
      </c>
      <c r="F9" s="67">
        <f t="shared" si="2"/>
        <v>81.06902233</v>
      </c>
      <c r="G9" s="64">
        <v>24521.0</v>
      </c>
      <c r="H9" s="67">
        <f t="shared" si="3"/>
        <v>15.7192951</v>
      </c>
      <c r="I9" s="64">
        <v>132015.0</v>
      </c>
      <c r="J9" s="67">
        <f t="shared" si="4"/>
        <v>84.62879745</v>
      </c>
      <c r="K9" s="64">
        <v>0.0</v>
      </c>
      <c r="L9" s="67">
        <f t="shared" si="5"/>
        <v>0</v>
      </c>
    </row>
    <row r="10">
      <c r="A10" s="25" t="s">
        <v>41</v>
      </c>
      <c r="B10" s="26">
        <v>23960.0</v>
      </c>
      <c r="C10" s="64">
        <v>5412.0</v>
      </c>
      <c r="D10" s="67">
        <f t="shared" si="1"/>
        <v>22.58764608</v>
      </c>
      <c r="E10" s="64">
        <v>13995.0</v>
      </c>
      <c r="F10" s="67">
        <f t="shared" si="2"/>
        <v>58.40984975</v>
      </c>
      <c r="G10" s="64">
        <v>5522.0</v>
      </c>
      <c r="H10" s="67">
        <f t="shared" si="3"/>
        <v>23.04674457</v>
      </c>
      <c r="I10" s="64">
        <v>19828.0</v>
      </c>
      <c r="J10" s="67">
        <f t="shared" si="4"/>
        <v>82.75459098</v>
      </c>
      <c r="K10" s="64">
        <v>0.0</v>
      </c>
      <c r="L10" s="67">
        <f t="shared" si="5"/>
        <v>0</v>
      </c>
    </row>
    <row r="11">
      <c r="A11" s="25" t="s">
        <v>43</v>
      </c>
      <c r="B11" s="26">
        <v>24517.0</v>
      </c>
      <c r="C11" s="64">
        <v>4007.0</v>
      </c>
      <c r="D11" s="67">
        <f t="shared" si="1"/>
        <v>16.34376147</v>
      </c>
      <c r="E11" s="64">
        <v>22517.0</v>
      </c>
      <c r="F11" s="67">
        <f t="shared" si="2"/>
        <v>91.84239507</v>
      </c>
      <c r="G11" s="64">
        <v>4007.0</v>
      </c>
      <c r="H11" s="67">
        <f t="shared" si="3"/>
        <v>16.34376147</v>
      </c>
      <c r="I11" s="64">
        <v>19567.0</v>
      </c>
      <c r="J11" s="67">
        <f t="shared" si="4"/>
        <v>79.80992781</v>
      </c>
      <c r="K11" s="64">
        <v>0.0</v>
      </c>
      <c r="L11" s="67">
        <f t="shared" si="5"/>
        <v>0</v>
      </c>
    </row>
    <row r="12">
      <c r="A12" s="25" t="s">
        <v>44</v>
      </c>
      <c r="B12" s="26">
        <v>31847.0</v>
      </c>
      <c r="C12" s="64">
        <v>0.0</v>
      </c>
      <c r="D12" s="67">
        <f t="shared" si="1"/>
        <v>0</v>
      </c>
      <c r="E12" s="64">
        <v>18006.0</v>
      </c>
      <c r="F12" s="67">
        <f t="shared" si="2"/>
        <v>56.53907746</v>
      </c>
      <c r="G12" s="64">
        <v>3845.0</v>
      </c>
      <c r="H12" s="67">
        <f t="shared" si="3"/>
        <v>12.07335071</v>
      </c>
      <c r="I12" s="64">
        <v>28002.0</v>
      </c>
      <c r="J12" s="67">
        <f t="shared" si="4"/>
        <v>87.92664929</v>
      </c>
      <c r="K12" s="64">
        <v>0.0</v>
      </c>
      <c r="L12" s="67">
        <f t="shared" si="5"/>
        <v>0</v>
      </c>
    </row>
    <row r="13">
      <c r="A13" s="25" t="s">
        <v>46</v>
      </c>
      <c r="B13" s="26">
        <v>103288.0</v>
      </c>
      <c r="C13" s="64">
        <v>13611.0</v>
      </c>
      <c r="D13" s="67">
        <f t="shared" si="1"/>
        <v>13.17771668</v>
      </c>
      <c r="E13" s="64">
        <v>71224.0</v>
      </c>
      <c r="F13" s="67">
        <f t="shared" si="2"/>
        <v>68.95670359</v>
      </c>
      <c r="G13" s="64">
        <v>2754.0</v>
      </c>
      <c r="H13" s="67">
        <f t="shared" si="3"/>
        <v>2.666331036</v>
      </c>
      <c r="I13" s="64">
        <v>90900.0</v>
      </c>
      <c r="J13" s="67">
        <f t="shared" si="4"/>
        <v>88.00635117</v>
      </c>
      <c r="K13" s="64">
        <v>0.0</v>
      </c>
      <c r="L13" s="67">
        <f t="shared" si="5"/>
        <v>0</v>
      </c>
    </row>
    <row r="14">
      <c r="A14" s="25" t="s">
        <v>48</v>
      </c>
      <c r="B14" s="26">
        <v>156987.0</v>
      </c>
      <c r="C14" s="64">
        <v>23725.0</v>
      </c>
      <c r="D14" s="67">
        <f t="shared" si="1"/>
        <v>15.11271634</v>
      </c>
      <c r="E14" s="64">
        <v>93059.0</v>
      </c>
      <c r="F14" s="67">
        <f t="shared" si="2"/>
        <v>59.27815679</v>
      </c>
      <c r="G14" s="64">
        <v>23808.0</v>
      </c>
      <c r="H14" s="67">
        <f t="shared" si="3"/>
        <v>15.16558696</v>
      </c>
      <c r="I14" s="64">
        <v>137962.0</v>
      </c>
      <c r="J14" s="67">
        <f t="shared" si="4"/>
        <v>87.88116213</v>
      </c>
      <c r="K14" s="64">
        <v>0.0</v>
      </c>
      <c r="L14" s="67">
        <f t="shared" si="5"/>
        <v>0</v>
      </c>
    </row>
    <row r="15">
      <c r="A15" s="25" t="s">
        <v>50</v>
      </c>
      <c r="B15" s="26">
        <v>26747.0</v>
      </c>
      <c r="C15" s="64">
        <v>2836.0</v>
      </c>
      <c r="D15" s="67">
        <f t="shared" si="1"/>
        <v>10.60305829</v>
      </c>
      <c r="E15" s="64">
        <v>14349.0</v>
      </c>
      <c r="F15" s="67">
        <f t="shared" si="2"/>
        <v>53.647138</v>
      </c>
      <c r="G15" s="64">
        <v>2228.0</v>
      </c>
      <c r="H15" s="67">
        <f t="shared" si="3"/>
        <v>8.329906158</v>
      </c>
      <c r="I15" s="64">
        <v>23866.0</v>
      </c>
      <c r="J15" s="67">
        <f t="shared" si="4"/>
        <v>89.22869855</v>
      </c>
      <c r="K15" s="64">
        <v>0.0</v>
      </c>
      <c r="L15" s="67">
        <f t="shared" si="5"/>
        <v>0</v>
      </c>
    </row>
    <row r="16">
      <c r="A16" s="25" t="s">
        <v>51</v>
      </c>
      <c r="B16" s="26">
        <v>77910.0</v>
      </c>
      <c r="C16" s="64">
        <v>3399.0</v>
      </c>
      <c r="D16" s="67">
        <f t="shared" si="1"/>
        <v>4.362726223</v>
      </c>
      <c r="E16" s="64">
        <v>37123.0</v>
      </c>
      <c r="F16" s="67">
        <f t="shared" si="2"/>
        <v>47.64856886</v>
      </c>
      <c r="G16" s="64">
        <v>6832.0</v>
      </c>
      <c r="H16" s="67">
        <f t="shared" si="3"/>
        <v>8.769092543</v>
      </c>
      <c r="I16" s="64">
        <v>74962.0</v>
      </c>
      <c r="J16" s="67">
        <f t="shared" si="4"/>
        <v>96.21614684</v>
      </c>
      <c r="K16" s="64">
        <v>0.0</v>
      </c>
      <c r="L16" s="67">
        <f t="shared" si="5"/>
        <v>0</v>
      </c>
    </row>
    <row r="17">
      <c r="A17" s="25" t="s">
        <v>53</v>
      </c>
      <c r="B17" s="26">
        <v>33828.0</v>
      </c>
      <c r="C17" s="64">
        <v>4884.0</v>
      </c>
      <c r="D17" s="67">
        <f t="shared" si="1"/>
        <v>14.43774388</v>
      </c>
      <c r="E17" s="64">
        <v>22543.0</v>
      </c>
      <c r="F17" s="67">
        <f t="shared" si="2"/>
        <v>66.64006149</v>
      </c>
      <c r="G17" s="64">
        <v>0.0</v>
      </c>
      <c r="H17" s="67">
        <f t="shared" si="3"/>
        <v>0</v>
      </c>
      <c r="I17" s="64">
        <v>29321.0</v>
      </c>
      <c r="J17" s="67">
        <f t="shared" si="4"/>
        <v>86.67671751</v>
      </c>
      <c r="K17" s="64">
        <v>2075.0</v>
      </c>
      <c r="L17" s="67">
        <f t="shared" si="5"/>
        <v>6.133971858</v>
      </c>
    </row>
    <row r="18">
      <c r="A18" s="25" t="s">
        <v>54</v>
      </c>
      <c r="B18" s="26">
        <v>91359.0</v>
      </c>
      <c r="C18" s="64">
        <v>7511.0</v>
      </c>
      <c r="D18" s="67">
        <f t="shared" si="1"/>
        <v>8.221412231</v>
      </c>
      <c r="E18" s="64">
        <v>51321.0</v>
      </c>
      <c r="F18" s="67">
        <f t="shared" si="2"/>
        <v>56.17508948</v>
      </c>
      <c r="G18" s="64">
        <v>9808.0</v>
      </c>
      <c r="H18" s="67">
        <f t="shared" si="3"/>
        <v>10.73566917</v>
      </c>
      <c r="I18" s="64">
        <v>88444.0</v>
      </c>
      <c r="J18" s="67">
        <f t="shared" si="4"/>
        <v>96.80929082</v>
      </c>
      <c r="K18" s="64">
        <v>0.0</v>
      </c>
      <c r="L18" s="67">
        <f t="shared" si="5"/>
        <v>0</v>
      </c>
    </row>
    <row r="19">
      <c r="A19" s="25" t="s">
        <v>56</v>
      </c>
      <c r="B19" s="26">
        <v>42722.0</v>
      </c>
      <c r="C19" s="64">
        <v>1251.0</v>
      </c>
      <c r="D19" s="67">
        <f t="shared" si="1"/>
        <v>2.928233697</v>
      </c>
      <c r="E19" s="64">
        <v>18724.0</v>
      </c>
      <c r="F19" s="67">
        <f t="shared" si="2"/>
        <v>43.82753616</v>
      </c>
      <c r="G19" s="64">
        <v>6055.0</v>
      </c>
      <c r="H19" s="67">
        <f t="shared" si="3"/>
        <v>14.17302561</v>
      </c>
      <c r="I19" s="64">
        <v>36487.0</v>
      </c>
      <c r="J19" s="67">
        <f t="shared" si="4"/>
        <v>85.4056458</v>
      </c>
      <c r="K19" s="64">
        <v>1722.0</v>
      </c>
      <c r="L19" s="67">
        <f t="shared" si="5"/>
        <v>4.030710173</v>
      </c>
    </row>
    <row r="20">
      <c r="A20" s="25" t="s">
        <v>57</v>
      </c>
      <c r="B20" s="26">
        <v>14231.0</v>
      </c>
      <c r="C20" s="64">
        <v>0.0</v>
      </c>
      <c r="D20" s="67">
        <f t="shared" si="1"/>
        <v>0</v>
      </c>
      <c r="E20" s="64">
        <v>8103.0</v>
      </c>
      <c r="F20" s="67">
        <f t="shared" si="2"/>
        <v>56.93907666</v>
      </c>
      <c r="G20" s="64">
        <v>1748.0</v>
      </c>
      <c r="H20" s="67">
        <f t="shared" si="3"/>
        <v>12.28304406</v>
      </c>
      <c r="I20" s="64">
        <v>14231.0</v>
      </c>
      <c r="J20" s="67">
        <f t="shared" si="4"/>
        <v>100</v>
      </c>
      <c r="K20" s="64">
        <v>0.0</v>
      </c>
      <c r="L20" s="67">
        <f t="shared" si="5"/>
        <v>0</v>
      </c>
    </row>
    <row r="21" ht="15.75" customHeight="1">
      <c r="A21" s="25" t="s">
        <v>59</v>
      </c>
      <c r="B21" s="26">
        <v>58813.0</v>
      </c>
      <c r="C21" s="64">
        <v>12547.0</v>
      </c>
      <c r="D21" s="67">
        <f t="shared" si="1"/>
        <v>21.33371874</v>
      </c>
      <c r="E21" s="64">
        <v>20618.0</v>
      </c>
      <c r="F21" s="67">
        <f t="shared" si="2"/>
        <v>35.05687518</v>
      </c>
      <c r="G21" s="64">
        <v>0.0</v>
      </c>
      <c r="H21" s="67">
        <f t="shared" si="3"/>
        <v>0</v>
      </c>
      <c r="I21" s="64">
        <v>47802.0</v>
      </c>
      <c r="J21" s="67">
        <f t="shared" si="4"/>
        <v>81.27794875</v>
      </c>
      <c r="K21" s="64">
        <v>0.0</v>
      </c>
      <c r="L21" s="67">
        <f t="shared" si="5"/>
        <v>0</v>
      </c>
    </row>
    <row r="22" ht="15.75" customHeight="1">
      <c r="A22" s="25" t="s">
        <v>60</v>
      </c>
      <c r="B22" s="26">
        <v>23315.0</v>
      </c>
      <c r="C22" s="64">
        <v>1863.0</v>
      </c>
      <c r="D22" s="67">
        <f t="shared" si="1"/>
        <v>7.990564015</v>
      </c>
      <c r="E22" s="64">
        <v>13827.0</v>
      </c>
      <c r="F22" s="67">
        <f t="shared" si="2"/>
        <v>59.30516835</v>
      </c>
      <c r="G22" s="64">
        <v>2572.0</v>
      </c>
      <c r="H22" s="67">
        <f t="shared" si="3"/>
        <v>11.03152477</v>
      </c>
      <c r="I22" s="64">
        <v>23315.0</v>
      </c>
      <c r="J22" s="67">
        <f t="shared" si="4"/>
        <v>100</v>
      </c>
      <c r="K22" s="64">
        <v>0.0</v>
      </c>
      <c r="L22" s="67">
        <f t="shared" si="5"/>
        <v>0</v>
      </c>
    </row>
    <row r="23" ht="15.75" customHeight="1">
      <c r="A23" s="25" t="s">
        <v>63</v>
      </c>
      <c r="B23" s="26">
        <v>54536.0</v>
      </c>
      <c r="C23" s="64">
        <v>4293.0</v>
      </c>
      <c r="D23" s="67">
        <f t="shared" si="1"/>
        <v>7.871864457</v>
      </c>
      <c r="E23" s="64">
        <v>27118.0</v>
      </c>
      <c r="F23" s="67">
        <f t="shared" si="2"/>
        <v>49.72495233</v>
      </c>
      <c r="G23" s="64">
        <v>5922.0</v>
      </c>
      <c r="H23" s="67">
        <f t="shared" si="3"/>
        <v>10.85888221</v>
      </c>
      <c r="I23" s="64">
        <v>44408.0</v>
      </c>
      <c r="J23" s="67">
        <f t="shared" si="4"/>
        <v>81.42878099</v>
      </c>
      <c r="K23" s="64">
        <v>0.0</v>
      </c>
      <c r="L23" s="67">
        <f t="shared" si="5"/>
        <v>0</v>
      </c>
    </row>
    <row r="24" ht="15.75" customHeight="1">
      <c r="A24" s="25" t="s">
        <v>64</v>
      </c>
      <c r="B24" s="26">
        <v>12309.0</v>
      </c>
      <c r="C24" s="64">
        <v>0.0</v>
      </c>
      <c r="D24" s="67">
        <f t="shared" si="1"/>
        <v>0</v>
      </c>
      <c r="E24" s="64">
        <v>5962.0</v>
      </c>
      <c r="F24" s="67">
        <f t="shared" si="2"/>
        <v>48.43610366</v>
      </c>
      <c r="G24" s="64">
        <v>1202.0</v>
      </c>
      <c r="H24" s="67">
        <f t="shared" si="3"/>
        <v>9.765212446</v>
      </c>
      <c r="I24" s="64">
        <v>12309.0</v>
      </c>
      <c r="J24" s="67">
        <f t="shared" si="4"/>
        <v>100</v>
      </c>
      <c r="K24" s="64">
        <v>0.0</v>
      </c>
      <c r="L24" s="67">
        <f t="shared" si="5"/>
        <v>0</v>
      </c>
    </row>
    <row r="25" ht="15.75" customHeight="1">
      <c r="A25" s="25" t="s">
        <v>65</v>
      </c>
      <c r="B25" s="26">
        <v>5167.0</v>
      </c>
      <c r="C25" s="64">
        <v>1227.0</v>
      </c>
      <c r="D25" s="67">
        <f t="shared" si="1"/>
        <v>23.74685504</v>
      </c>
      <c r="E25" s="64">
        <v>1227.0</v>
      </c>
      <c r="F25" s="67">
        <f t="shared" si="2"/>
        <v>23.74685504</v>
      </c>
      <c r="G25" s="64">
        <v>0.0</v>
      </c>
      <c r="H25" s="67">
        <f t="shared" si="3"/>
        <v>0</v>
      </c>
      <c r="I25" s="64">
        <v>2712.0</v>
      </c>
      <c r="J25" s="67">
        <f t="shared" si="4"/>
        <v>52.48693633</v>
      </c>
      <c r="K25" s="64">
        <v>0.0</v>
      </c>
      <c r="L25" s="67">
        <f t="shared" si="5"/>
        <v>0</v>
      </c>
    </row>
    <row r="26" ht="15.75" customHeight="1">
      <c r="A26" s="28"/>
      <c r="B26" s="28"/>
      <c r="C26" s="28"/>
      <c r="D26" s="28"/>
      <c r="E26" s="28"/>
      <c r="F26" s="28"/>
      <c r="G26" s="28"/>
      <c r="H26" s="28"/>
      <c r="I26" s="28"/>
      <c r="J26" s="28"/>
      <c r="K26" s="28"/>
      <c r="L26" s="28"/>
    </row>
    <row r="27" ht="15.75" customHeight="1">
      <c r="A27" s="9"/>
      <c r="B27" s="9"/>
      <c r="C27" s="9"/>
      <c r="D27" s="9"/>
      <c r="E27" s="9"/>
      <c r="F27" s="9"/>
      <c r="G27" s="9"/>
      <c r="H27" s="9"/>
      <c r="I27" s="9"/>
      <c r="J27" s="9"/>
      <c r="K27" s="9"/>
      <c r="L27" s="9"/>
    </row>
    <row r="28" ht="15.75" customHeight="1">
      <c r="A28" s="29" t="s">
        <v>69</v>
      </c>
      <c r="B28" s="29"/>
      <c r="C28" s="29"/>
      <c r="D28" s="29"/>
      <c r="E28" s="29"/>
      <c r="F28" s="29"/>
      <c r="G28" s="29"/>
      <c r="H28" s="29"/>
      <c r="I28" s="29"/>
      <c r="J28" s="29"/>
      <c r="K28" s="29"/>
      <c r="L28" s="29"/>
    </row>
    <row r="29" ht="15.75" customHeight="1">
      <c r="A29" s="29" t="s">
        <v>72</v>
      </c>
      <c r="B29" s="29"/>
      <c r="C29" s="29"/>
      <c r="D29" s="29"/>
      <c r="E29" s="29"/>
      <c r="F29" s="29"/>
      <c r="G29" s="29"/>
      <c r="H29" s="29"/>
      <c r="I29" s="29"/>
      <c r="J29" s="29"/>
      <c r="K29" s="29"/>
      <c r="L29" s="29"/>
    </row>
    <row r="30" ht="15.75" customHeight="1">
      <c r="A30" s="29" t="s">
        <v>401</v>
      </c>
      <c r="B30" s="29"/>
      <c r="C30" s="29"/>
      <c r="D30" s="29"/>
      <c r="E30" s="29"/>
      <c r="F30" s="29"/>
      <c r="G30" s="29"/>
      <c r="H30" s="29"/>
      <c r="I30" s="29"/>
      <c r="J30" s="29"/>
      <c r="K30" s="29"/>
      <c r="L30" s="29"/>
    </row>
    <row r="31" ht="15.75" customHeight="1">
      <c r="A31" s="32" t="s">
        <v>76</v>
      </c>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K5:L5"/>
    <mergeCell ref="A31:L31"/>
    <mergeCell ref="A4:A6"/>
    <mergeCell ref="B4:B6"/>
    <mergeCell ref="C4:L4"/>
    <mergeCell ref="C5:D5"/>
    <mergeCell ref="E5:F5"/>
    <mergeCell ref="G5:H5"/>
    <mergeCell ref="I5:J5"/>
  </mergeCells>
  <hyperlinks>
    <hyperlink display="BACK TO LIST" location="LIST!A1" ref="A1"/>
  </hyperlinks>
  <printOptions/>
  <pageMargins bottom="0.75" footer="0.0" header="0.0" left="0.7" right="0.7" top="0.75"/>
  <pageSetup orientation="landscape"/>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9"/>
    <pageSetUpPr/>
  </sheetPr>
  <sheetViews>
    <sheetView workbookViewId="0"/>
  </sheetViews>
  <sheetFormatPr customHeight="1" defaultColWidth="12.63" defaultRowHeight="15.0"/>
  <cols>
    <col customWidth="1" min="1" max="1" width="39.0"/>
    <col customWidth="1" min="2" max="2" width="15.25"/>
    <col customWidth="1" min="3" max="55" width="14.0"/>
  </cols>
  <sheetData>
    <row r="1">
      <c r="A1" s="5" t="s">
        <v>1</v>
      </c>
    </row>
    <row r="2" ht="15.0" customHeight="1">
      <c r="A2" s="6" t="s">
        <v>402</v>
      </c>
      <c r="B2" s="6"/>
      <c r="C2" s="6"/>
      <c r="D2" s="6"/>
      <c r="E2" s="53"/>
      <c r="F2" s="53"/>
      <c r="G2" s="53"/>
      <c r="H2" s="53"/>
      <c r="K2" s="53"/>
      <c r="L2" s="53"/>
      <c r="M2" s="53"/>
      <c r="N2" s="53"/>
      <c r="Q2" s="53"/>
      <c r="R2" s="53"/>
      <c r="S2" s="53"/>
      <c r="T2" s="53"/>
      <c r="U2" s="53"/>
      <c r="V2" s="53"/>
      <c r="W2" s="53"/>
      <c r="X2" s="53"/>
      <c r="Y2" s="53"/>
      <c r="Z2" s="53"/>
      <c r="AA2" s="53"/>
      <c r="AB2" s="53"/>
      <c r="AC2" s="53"/>
      <c r="AD2" s="53"/>
      <c r="AE2" s="53"/>
      <c r="AF2" s="53"/>
      <c r="AG2" s="53"/>
      <c r="AH2" s="53"/>
      <c r="AI2" s="53"/>
      <c r="AJ2" s="53"/>
      <c r="AK2" s="53"/>
      <c r="AL2" s="53"/>
      <c r="AM2" s="53"/>
      <c r="AN2" s="53"/>
      <c r="AO2" s="53"/>
      <c r="AP2" s="53"/>
      <c r="AQ2" s="53"/>
      <c r="AR2" s="53"/>
      <c r="AS2" s="53"/>
      <c r="AT2" s="53"/>
      <c r="AU2" s="53"/>
      <c r="AV2" s="53"/>
      <c r="AW2" s="53"/>
      <c r="AX2" s="53"/>
      <c r="AY2" s="53"/>
      <c r="AZ2" s="53"/>
      <c r="BA2" s="53"/>
      <c r="BB2" s="53"/>
      <c r="BC2" s="53"/>
    </row>
    <row r="3">
      <c r="A3" s="8"/>
      <c r="B3" s="9"/>
      <c r="C3" s="9"/>
      <c r="D3" s="9"/>
      <c r="E3" s="9"/>
      <c r="F3" s="9"/>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c r="AK3" s="9"/>
      <c r="AL3" s="9"/>
      <c r="AM3" s="9"/>
      <c r="AN3" s="9"/>
      <c r="AO3" s="9"/>
      <c r="AP3" s="9"/>
      <c r="AQ3" s="9"/>
      <c r="AR3" s="9"/>
      <c r="AS3" s="9"/>
      <c r="AT3" s="9"/>
      <c r="AU3" s="9"/>
      <c r="AV3" s="9"/>
      <c r="AW3" s="9"/>
      <c r="AX3" s="9"/>
      <c r="AY3" s="9"/>
      <c r="AZ3" s="9"/>
      <c r="BA3" s="9"/>
      <c r="BB3" s="9"/>
      <c r="BC3" s="9"/>
    </row>
    <row r="4">
      <c r="A4" s="10" t="s">
        <v>13</v>
      </c>
      <c r="B4" s="42">
        <v>2019.0</v>
      </c>
      <c r="C4" s="14"/>
      <c r="D4" s="14"/>
      <c r="E4" s="14"/>
      <c r="F4" s="14"/>
      <c r="G4" s="14"/>
      <c r="H4" s="14"/>
      <c r="I4" s="14"/>
      <c r="J4" s="14"/>
      <c r="K4" s="14"/>
      <c r="L4" s="14"/>
      <c r="M4" s="14"/>
      <c r="N4" s="14"/>
      <c r="O4" s="14"/>
      <c r="P4" s="14"/>
      <c r="Q4" s="14"/>
      <c r="R4" s="14"/>
      <c r="S4" s="14"/>
      <c r="T4" s="14"/>
      <c r="U4" s="14"/>
      <c r="V4" s="14"/>
      <c r="W4" s="14"/>
      <c r="X4" s="14"/>
      <c r="Y4" s="14"/>
      <c r="Z4" s="14"/>
      <c r="AA4" s="14"/>
      <c r="AB4" s="14"/>
      <c r="AC4" s="14"/>
      <c r="AD4" s="14"/>
      <c r="AE4" s="14"/>
      <c r="AF4" s="14"/>
      <c r="AG4" s="14"/>
      <c r="AH4" s="14"/>
      <c r="AI4" s="14"/>
      <c r="AJ4" s="14"/>
      <c r="AK4" s="14"/>
      <c r="AL4" s="14"/>
      <c r="AM4" s="14"/>
      <c r="AN4" s="14"/>
      <c r="AO4" s="14"/>
      <c r="AP4" s="15"/>
      <c r="AQ4" s="9"/>
      <c r="AR4" s="9"/>
      <c r="AS4" s="9"/>
      <c r="AT4" s="9"/>
      <c r="AU4" s="9"/>
      <c r="AV4" s="9"/>
      <c r="AW4" s="9"/>
      <c r="AX4" s="9"/>
      <c r="AY4" s="9"/>
      <c r="AZ4" s="9"/>
      <c r="BA4" s="9"/>
      <c r="BB4" s="9"/>
      <c r="BC4" s="9"/>
    </row>
    <row r="5">
      <c r="A5" s="17"/>
      <c r="B5" s="48" t="s">
        <v>403</v>
      </c>
      <c r="C5" s="49" t="s">
        <v>404</v>
      </c>
      <c r="D5" s="37"/>
      <c r="E5" s="13" t="s">
        <v>405</v>
      </c>
      <c r="F5" s="14"/>
      <c r="G5" s="14"/>
      <c r="H5" s="14"/>
      <c r="I5" s="14"/>
      <c r="J5" s="14"/>
      <c r="K5" s="14"/>
      <c r="L5" s="14"/>
      <c r="M5" s="14"/>
      <c r="N5" s="14"/>
      <c r="O5" s="14"/>
      <c r="P5" s="14"/>
      <c r="Q5" s="14"/>
      <c r="R5" s="14"/>
      <c r="S5" s="14"/>
      <c r="T5" s="14"/>
      <c r="U5" s="14"/>
      <c r="V5" s="14"/>
      <c r="W5" s="14"/>
      <c r="X5" s="14"/>
      <c r="Y5" s="14"/>
      <c r="Z5" s="14"/>
      <c r="AA5" s="14"/>
      <c r="AB5" s="14"/>
      <c r="AC5" s="14"/>
      <c r="AD5" s="14"/>
      <c r="AE5" s="14"/>
      <c r="AF5" s="14"/>
      <c r="AG5" s="14"/>
      <c r="AH5" s="14"/>
      <c r="AI5" s="14"/>
      <c r="AJ5" s="14"/>
      <c r="AK5" s="14"/>
      <c r="AL5" s="14"/>
      <c r="AM5" s="14"/>
      <c r="AN5" s="14"/>
      <c r="AO5" s="14"/>
      <c r="AP5" s="15"/>
      <c r="AQ5" s="9"/>
      <c r="AR5" s="9"/>
      <c r="AS5" s="9"/>
      <c r="AT5" s="9"/>
      <c r="AU5" s="9"/>
      <c r="AV5" s="9"/>
      <c r="AW5" s="9"/>
      <c r="AX5" s="9"/>
      <c r="AY5" s="9"/>
      <c r="AZ5" s="9"/>
      <c r="BA5" s="9"/>
      <c r="BB5" s="9"/>
      <c r="BC5" s="9"/>
    </row>
    <row r="6" ht="45.0" customHeight="1">
      <c r="A6" s="17"/>
      <c r="B6" s="50"/>
      <c r="C6" s="39"/>
      <c r="D6" s="40"/>
      <c r="E6" s="13" t="s">
        <v>406</v>
      </c>
      <c r="F6" s="15"/>
      <c r="G6" s="13" t="s">
        <v>407</v>
      </c>
      <c r="H6" s="15"/>
      <c r="I6" s="13" t="s">
        <v>408</v>
      </c>
      <c r="J6" s="15"/>
      <c r="K6" s="13" t="s">
        <v>409</v>
      </c>
      <c r="L6" s="15"/>
      <c r="M6" s="13" t="s">
        <v>410</v>
      </c>
      <c r="N6" s="15"/>
      <c r="O6" s="13" t="s">
        <v>411</v>
      </c>
      <c r="P6" s="15"/>
      <c r="Q6" s="13" t="s">
        <v>412</v>
      </c>
      <c r="R6" s="15"/>
      <c r="S6" s="13" t="s">
        <v>413</v>
      </c>
      <c r="T6" s="15"/>
      <c r="U6" s="13" t="s">
        <v>414</v>
      </c>
      <c r="V6" s="15"/>
      <c r="W6" s="13" t="s">
        <v>415</v>
      </c>
      <c r="X6" s="15"/>
      <c r="Y6" s="13" t="s">
        <v>416</v>
      </c>
      <c r="Z6" s="15"/>
      <c r="AA6" s="13" t="s">
        <v>417</v>
      </c>
      <c r="AB6" s="15"/>
      <c r="AC6" s="13" t="s">
        <v>383</v>
      </c>
      <c r="AD6" s="15"/>
      <c r="AE6" s="13" t="s">
        <v>364</v>
      </c>
      <c r="AF6" s="15"/>
      <c r="AG6" s="13" t="s">
        <v>418</v>
      </c>
      <c r="AH6" s="15"/>
      <c r="AI6" s="13" t="s">
        <v>385</v>
      </c>
      <c r="AJ6" s="15"/>
      <c r="AK6" s="13" t="s">
        <v>419</v>
      </c>
      <c r="AL6" s="15"/>
      <c r="AM6" s="13" t="s">
        <v>420</v>
      </c>
      <c r="AN6" s="15"/>
      <c r="AO6" s="13" t="s">
        <v>170</v>
      </c>
      <c r="AP6" s="15"/>
      <c r="AQ6" s="9"/>
      <c r="AR6" s="9"/>
      <c r="AS6" s="9"/>
      <c r="AT6" s="9"/>
      <c r="AU6" s="9"/>
      <c r="AV6" s="9"/>
      <c r="AW6" s="9"/>
      <c r="AX6" s="9"/>
      <c r="AY6" s="9"/>
      <c r="AZ6" s="9"/>
      <c r="BA6" s="9"/>
      <c r="BB6" s="9"/>
      <c r="BC6" s="9"/>
    </row>
    <row r="7">
      <c r="A7" s="18"/>
      <c r="B7" s="40"/>
      <c r="C7" s="24" t="s">
        <v>37</v>
      </c>
      <c r="D7" s="24" t="s">
        <v>39</v>
      </c>
      <c r="E7" s="24" t="s">
        <v>37</v>
      </c>
      <c r="F7" s="24" t="s">
        <v>39</v>
      </c>
      <c r="G7" s="24" t="s">
        <v>37</v>
      </c>
      <c r="H7" s="24" t="s">
        <v>39</v>
      </c>
      <c r="I7" s="24" t="s">
        <v>37</v>
      </c>
      <c r="J7" s="24" t="s">
        <v>39</v>
      </c>
      <c r="K7" s="24" t="s">
        <v>37</v>
      </c>
      <c r="L7" s="24" t="s">
        <v>39</v>
      </c>
      <c r="M7" s="24" t="s">
        <v>37</v>
      </c>
      <c r="N7" s="24" t="s">
        <v>39</v>
      </c>
      <c r="O7" s="24" t="s">
        <v>37</v>
      </c>
      <c r="P7" s="24" t="s">
        <v>39</v>
      </c>
      <c r="Q7" s="24" t="s">
        <v>37</v>
      </c>
      <c r="R7" s="24" t="s">
        <v>39</v>
      </c>
      <c r="S7" s="24" t="s">
        <v>37</v>
      </c>
      <c r="T7" s="24" t="s">
        <v>39</v>
      </c>
      <c r="U7" s="24" t="s">
        <v>37</v>
      </c>
      <c r="V7" s="24" t="s">
        <v>39</v>
      </c>
      <c r="W7" s="24" t="s">
        <v>37</v>
      </c>
      <c r="X7" s="24" t="s">
        <v>39</v>
      </c>
      <c r="Y7" s="24" t="s">
        <v>37</v>
      </c>
      <c r="Z7" s="24" t="s">
        <v>39</v>
      </c>
      <c r="AA7" s="24" t="s">
        <v>37</v>
      </c>
      <c r="AB7" s="24" t="s">
        <v>39</v>
      </c>
      <c r="AC7" s="24" t="s">
        <v>37</v>
      </c>
      <c r="AD7" s="24" t="s">
        <v>39</v>
      </c>
      <c r="AE7" s="24" t="s">
        <v>37</v>
      </c>
      <c r="AF7" s="24" t="s">
        <v>39</v>
      </c>
      <c r="AG7" s="24" t="s">
        <v>37</v>
      </c>
      <c r="AH7" s="24" t="s">
        <v>39</v>
      </c>
      <c r="AI7" s="24" t="s">
        <v>37</v>
      </c>
      <c r="AJ7" s="24" t="s">
        <v>39</v>
      </c>
      <c r="AK7" s="24" t="s">
        <v>37</v>
      </c>
      <c r="AL7" s="24" t="s">
        <v>39</v>
      </c>
      <c r="AM7" s="24" t="s">
        <v>37</v>
      </c>
      <c r="AN7" s="24" t="s">
        <v>39</v>
      </c>
      <c r="AO7" s="24" t="s">
        <v>37</v>
      </c>
      <c r="AP7" s="24" t="s">
        <v>39</v>
      </c>
      <c r="AQ7" s="9"/>
      <c r="AR7" s="9"/>
      <c r="AS7" s="9"/>
      <c r="AT7" s="9"/>
      <c r="AU7" s="9"/>
      <c r="AV7" s="9"/>
      <c r="AW7" s="9"/>
      <c r="AX7" s="9"/>
      <c r="AY7" s="9"/>
      <c r="AZ7" s="9"/>
      <c r="BA7" s="9"/>
      <c r="BB7" s="9"/>
      <c r="BC7" s="9"/>
    </row>
    <row r="8">
      <c r="A8" s="16"/>
      <c r="B8" s="20"/>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9"/>
      <c r="AR8" s="9"/>
      <c r="AS8" s="9"/>
      <c r="AT8" s="9"/>
      <c r="AU8" s="9"/>
      <c r="AV8" s="9"/>
      <c r="AW8" s="9"/>
      <c r="AX8" s="9"/>
      <c r="AY8" s="9"/>
      <c r="AZ8" s="9"/>
      <c r="BA8" s="9"/>
      <c r="BB8" s="9"/>
      <c r="BC8" s="9"/>
    </row>
    <row r="9">
      <c r="A9" s="22" t="s">
        <v>33</v>
      </c>
      <c r="B9" s="23">
        <v>2.1118015227792002E7</v>
      </c>
      <c r="C9" s="23">
        <v>5000645.0</v>
      </c>
      <c r="D9" s="27">
        <f t="shared" ref="D9:D26" si="1">(C9/$B9)*100</f>
        <v>23.67952171</v>
      </c>
      <c r="E9" s="23">
        <v>182939.83793999997</v>
      </c>
      <c r="F9" s="27">
        <f t="shared" ref="F9:F26" si="2">(E9/$C9)*100</f>
        <v>3.658324835</v>
      </c>
      <c r="G9" s="23">
        <v>3249007.440057999</v>
      </c>
      <c r="H9" s="27">
        <f t="shared" ref="H9:H26" si="3">(G9/$C9)*100</f>
        <v>64.97176744</v>
      </c>
      <c r="I9" s="23">
        <v>291573.307802</v>
      </c>
      <c r="J9" s="27">
        <f t="shared" ref="J9:J26" si="4">(I9/$C9)*100</f>
        <v>5.830713994</v>
      </c>
      <c r="K9" s="23">
        <v>127419.55127000001</v>
      </c>
      <c r="L9" s="27">
        <f t="shared" ref="L9:L26" si="5">(K9/$C9)*100</f>
        <v>2.548062325</v>
      </c>
      <c r="M9" s="23">
        <v>119149.37124000001</v>
      </c>
      <c r="N9" s="27">
        <f t="shared" ref="N9:N26" si="6">(M9/$C9)*100</f>
        <v>2.382680059</v>
      </c>
      <c r="O9" s="23">
        <v>1080004.7916579999</v>
      </c>
      <c r="P9" s="27">
        <f t="shared" ref="P9:P26" si="7">(O9/$C9)*100</f>
        <v>21.59730978</v>
      </c>
      <c r="Q9" s="23">
        <v>1125474.7015290007</v>
      </c>
      <c r="R9" s="27">
        <f t="shared" ref="R9:R26" si="8">(Q9/$C9)*100</f>
        <v>22.50659068</v>
      </c>
      <c r="S9" s="23">
        <v>12933.780439999999</v>
      </c>
      <c r="T9" s="27">
        <f t="shared" ref="T9:T26" si="9">(S9/$C9)*100</f>
        <v>0.258642244</v>
      </c>
      <c r="U9" s="23">
        <v>30414.22231</v>
      </c>
      <c r="V9" s="27">
        <f t="shared" ref="V9:V26" si="10">(U9/$C9)*100</f>
        <v>0.6082059876</v>
      </c>
      <c r="W9" s="23">
        <v>361257.9443720001</v>
      </c>
      <c r="X9" s="27">
        <f t="shared" ref="X9:X26" si="11">(W9/$C9)*100</f>
        <v>7.224226962</v>
      </c>
      <c r="Y9" s="23">
        <v>852276.3826690001</v>
      </c>
      <c r="Z9" s="27">
        <f t="shared" ref="Z9:Z26" si="12">(Y9/$C9)*100</f>
        <v>17.04332906</v>
      </c>
      <c r="AA9" s="23">
        <v>156932.16889199996</v>
      </c>
      <c r="AB9" s="27">
        <f t="shared" ref="AB9:AB26" si="13">(AA9/$C9)*100</f>
        <v>3.138238545</v>
      </c>
      <c r="AC9" s="23">
        <v>69879.84735699999</v>
      </c>
      <c r="AD9" s="27">
        <f t="shared" ref="AD9:AD26" si="14">(AC9/$C9)*100</f>
        <v>1.39741668</v>
      </c>
      <c r="AE9" s="23">
        <v>15195.139819999999</v>
      </c>
      <c r="AF9" s="27">
        <f t="shared" ref="AF9:AF26" si="15">(AE9/$C9)*100</f>
        <v>0.303863598</v>
      </c>
      <c r="AG9" s="23">
        <v>149749.90681</v>
      </c>
      <c r="AH9" s="27">
        <f t="shared" ref="AH9:AH26" si="16">(AG9/$C9)*100</f>
        <v>2.994611831</v>
      </c>
      <c r="AI9" s="68"/>
      <c r="AJ9" s="69">
        <f t="shared" ref="AJ9:AJ26" si="17">(AI9/$C9)*100</f>
        <v>0</v>
      </c>
      <c r="AK9" s="23">
        <v>169023.86642000003</v>
      </c>
      <c r="AL9" s="27">
        <f t="shared" ref="AL9:AL26" si="18">(AK9/$C9)*100</f>
        <v>3.380041303</v>
      </c>
      <c r="AM9" s="23">
        <v>202016.12849099998</v>
      </c>
      <c r="AN9" s="27">
        <f t="shared" ref="AN9:AN26" si="19">(AM9/$C9)*100</f>
        <v>4.039801435</v>
      </c>
      <c r="AO9" s="23">
        <v>149823.67990000002</v>
      </c>
      <c r="AP9" s="27">
        <f t="shared" ref="AP9:AP26" si="20">(AO9/$C9)*100</f>
        <v>2.996087103</v>
      </c>
      <c r="AQ9" s="9"/>
      <c r="AR9" s="9"/>
      <c r="AS9" s="9"/>
      <c r="AT9" s="9"/>
      <c r="AU9" s="9"/>
      <c r="AV9" s="9"/>
      <c r="AW9" s="9"/>
      <c r="AX9" s="9"/>
      <c r="AY9" s="9"/>
      <c r="AZ9" s="9"/>
      <c r="BA9" s="9"/>
      <c r="BB9" s="9"/>
      <c r="BC9" s="9"/>
    </row>
    <row r="10">
      <c r="A10" s="25" t="s">
        <v>38</v>
      </c>
      <c r="B10" s="26">
        <v>4434947.683279998</v>
      </c>
      <c r="C10" s="26">
        <v>1217080.0</v>
      </c>
      <c r="D10" s="31">
        <f t="shared" si="1"/>
        <v>27.44293928</v>
      </c>
      <c r="E10" s="26">
        <v>87885.31211999999</v>
      </c>
      <c r="F10" s="31">
        <f t="shared" si="2"/>
        <v>7.220997151</v>
      </c>
      <c r="G10" s="26">
        <v>848988.1853399996</v>
      </c>
      <c r="H10" s="31">
        <f t="shared" si="3"/>
        <v>69.75615287</v>
      </c>
      <c r="I10" s="26">
        <v>56167.86862</v>
      </c>
      <c r="J10" s="31">
        <f t="shared" si="4"/>
        <v>4.614969322</v>
      </c>
      <c r="K10" s="26">
        <v>27967.525469999997</v>
      </c>
      <c r="L10" s="31">
        <f t="shared" si="5"/>
        <v>2.29792006</v>
      </c>
      <c r="M10" s="26">
        <v>38108.78444</v>
      </c>
      <c r="N10" s="31">
        <f t="shared" si="6"/>
        <v>3.13116512</v>
      </c>
      <c r="O10" s="26">
        <v>280548.89664999995</v>
      </c>
      <c r="P10" s="31">
        <f t="shared" si="7"/>
        <v>23.0509824</v>
      </c>
      <c r="Q10" s="26">
        <v>317840.93419999996</v>
      </c>
      <c r="R10" s="31">
        <f t="shared" si="8"/>
        <v>26.11504044</v>
      </c>
      <c r="S10" s="26">
        <v>5386.43584</v>
      </c>
      <c r="T10" s="31">
        <f t="shared" si="9"/>
        <v>0.4425704013</v>
      </c>
      <c r="U10" s="26">
        <v>7132.98805</v>
      </c>
      <c r="V10" s="31">
        <f t="shared" si="10"/>
        <v>0.5860738859</v>
      </c>
      <c r="W10" s="26">
        <v>98060.92102000001</v>
      </c>
      <c r="X10" s="31">
        <f t="shared" si="11"/>
        <v>8.057064533</v>
      </c>
      <c r="Y10" s="26">
        <v>203695.84506</v>
      </c>
      <c r="Z10" s="31">
        <f t="shared" si="12"/>
        <v>16.73643845</v>
      </c>
      <c r="AA10" s="26">
        <v>28108.415530000002</v>
      </c>
      <c r="AB10" s="31">
        <f t="shared" si="13"/>
        <v>2.309496133</v>
      </c>
      <c r="AC10" s="26">
        <v>14304.02465</v>
      </c>
      <c r="AD10" s="31">
        <f t="shared" si="14"/>
        <v>1.175273988</v>
      </c>
      <c r="AE10" s="26">
        <v>538.28302</v>
      </c>
      <c r="AF10" s="31">
        <f t="shared" si="15"/>
        <v>0.0442274148</v>
      </c>
      <c r="AG10" s="26">
        <v>19780.55115</v>
      </c>
      <c r="AH10" s="31">
        <f t="shared" si="16"/>
        <v>1.625246586</v>
      </c>
      <c r="AI10" s="70"/>
      <c r="AJ10" s="71">
        <f t="shared" si="17"/>
        <v>0</v>
      </c>
      <c r="AK10" s="26">
        <v>16588.35834</v>
      </c>
      <c r="AL10" s="31">
        <f t="shared" si="18"/>
        <v>1.362963679</v>
      </c>
      <c r="AM10" s="26">
        <v>24730.88051</v>
      </c>
      <c r="AN10" s="31">
        <f t="shared" si="19"/>
        <v>2.031984792</v>
      </c>
      <c r="AO10" s="26">
        <v>15092.59355</v>
      </c>
      <c r="AP10" s="31">
        <f t="shared" si="20"/>
        <v>1.240065858</v>
      </c>
      <c r="AQ10" s="9"/>
      <c r="AR10" s="9"/>
      <c r="AS10" s="9"/>
      <c r="AT10" s="9"/>
      <c r="AU10" s="9"/>
      <c r="AV10" s="9"/>
      <c r="AW10" s="9"/>
      <c r="AX10" s="9"/>
      <c r="AY10" s="9"/>
      <c r="AZ10" s="9"/>
      <c r="BA10" s="9"/>
      <c r="BB10" s="9"/>
      <c r="BC10" s="9"/>
    </row>
    <row r="11">
      <c r="A11" s="25" t="s">
        <v>41</v>
      </c>
      <c r="B11" s="26">
        <v>322391.19261700066</v>
      </c>
      <c r="C11" s="26">
        <v>94428.0</v>
      </c>
      <c r="D11" s="31">
        <f t="shared" si="1"/>
        <v>29.28988203</v>
      </c>
      <c r="E11" s="26">
        <v>2027.64375</v>
      </c>
      <c r="F11" s="31">
        <f t="shared" si="2"/>
        <v>2.147290793</v>
      </c>
      <c r="G11" s="26">
        <v>77639.12325200002</v>
      </c>
      <c r="H11" s="31">
        <f t="shared" si="3"/>
        <v>82.22044653</v>
      </c>
      <c r="I11" s="26">
        <v>6597.144939999999</v>
      </c>
      <c r="J11" s="31">
        <f t="shared" si="4"/>
        <v>6.98642875</v>
      </c>
      <c r="K11" s="26">
        <v>1138.95707</v>
      </c>
      <c r="L11" s="31">
        <f t="shared" si="5"/>
        <v>1.206164559</v>
      </c>
      <c r="M11" s="26">
        <v>2173.9318</v>
      </c>
      <c r="N11" s="31">
        <f t="shared" si="6"/>
        <v>2.302210997</v>
      </c>
      <c r="O11" s="26">
        <v>15992.094410000003</v>
      </c>
      <c r="P11" s="31">
        <f t="shared" si="7"/>
        <v>16.93575466</v>
      </c>
      <c r="Q11" s="26">
        <v>14810.107950000003</v>
      </c>
      <c r="R11" s="31">
        <f t="shared" si="8"/>
        <v>15.68402164</v>
      </c>
      <c r="S11" s="26">
        <v>0.0</v>
      </c>
      <c r="T11" s="31">
        <f t="shared" si="9"/>
        <v>0</v>
      </c>
      <c r="U11" s="26">
        <v>609.28467</v>
      </c>
      <c r="V11" s="31">
        <f t="shared" si="10"/>
        <v>0.6452372919</v>
      </c>
      <c r="W11" s="26">
        <v>5048.43228</v>
      </c>
      <c r="X11" s="31">
        <f t="shared" si="11"/>
        <v>5.346329775</v>
      </c>
      <c r="Y11" s="26">
        <v>23941.732460000003</v>
      </c>
      <c r="Z11" s="31">
        <f t="shared" si="12"/>
        <v>25.35448433</v>
      </c>
      <c r="AA11" s="26">
        <v>0.0</v>
      </c>
      <c r="AB11" s="31">
        <f t="shared" si="13"/>
        <v>0</v>
      </c>
      <c r="AC11" s="26">
        <v>1867.5728299999998</v>
      </c>
      <c r="AD11" s="31">
        <f t="shared" si="14"/>
        <v>1.977774421</v>
      </c>
      <c r="AE11" s="26">
        <v>0.0</v>
      </c>
      <c r="AF11" s="31">
        <f t="shared" si="15"/>
        <v>0</v>
      </c>
      <c r="AG11" s="26">
        <v>762.37439</v>
      </c>
      <c r="AH11" s="31">
        <f t="shared" si="16"/>
        <v>0.8073605181</v>
      </c>
      <c r="AI11" s="70"/>
      <c r="AJ11" s="71">
        <f t="shared" si="17"/>
        <v>0</v>
      </c>
      <c r="AK11" s="26">
        <v>352.41403</v>
      </c>
      <c r="AL11" s="31">
        <f t="shared" si="18"/>
        <v>0.3732092494</v>
      </c>
      <c r="AM11" s="26">
        <v>2053.02013</v>
      </c>
      <c r="AN11" s="31">
        <f t="shared" si="19"/>
        <v>2.17416458</v>
      </c>
      <c r="AO11" s="26">
        <v>1349.4774000000002</v>
      </c>
      <c r="AP11" s="31">
        <f t="shared" si="20"/>
        <v>1.429107256</v>
      </c>
      <c r="AQ11" s="9"/>
      <c r="AR11" s="9"/>
      <c r="AS11" s="9"/>
      <c r="AT11" s="9"/>
      <c r="AU11" s="9"/>
      <c r="AV11" s="9"/>
      <c r="AW11" s="9"/>
      <c r="AX11" s="9"/>
      <c r="AY11" s="9"/>
      <c r="AZ11" s="9"/>
      <c r="BA11" s="9"/>
      <c r="BB11" s="9"/>
      <c r="BC11" s="9"/>
    </row>
    <row r="12">
      <c r="A12" s="25" t="s">
        <v>43</v>
      </c>
      <c r="B12" s="26">
        <v>1269147.599349999</v>
      </c>
      <c r="C12" s="26">
        <v>259922.0</v>
      </c>
      <c r="D12" s="31">
        <f t="shared" si="1"/>
        <v>20.48004504</v>
      </c>
      <c r="E12" s="26">
        <v>22255.88349</v>
      </c>
      <c r="F12" s="31">
        <f t="shared" si="2"/>
        <v>8.562523946</v>
      </c>
      <c r="G12" s="26">
        <v>131612.62645999997</v>
      </c>
      <c r="H12" s="31">
        <f t="shared" si="3"/>
        <v>50.63543158</v>
      </c>
      <c r="I12" s="26">
        <v>8809.704300000001</v>
      </c>
      <c r="J12" s="31">
        <f t="shared" si="4"/>
        <v>3.389364617</v>
      </c>
      <c r="K12" s="26">
        <v>4723.1439</v>
      </c>
      <c r="L12" s="31">
        <f t="shared" si="5"/>
        <v>1.817138949</v>
      </c>
      <c r="M12" s="26">
        <v>4674.2739</v>
      </c>
      <c r="N12" s="31">
        <f t="shared" si="6"/>
        <v>1.798337155</v>
      </c>
      <c r="O12" s="26">
        <v>39818.228149999995</v>
      </c>
      <c r="P12" s="31">
        <f t="shared" si="7"/>
        <v>15.31929892</v>
      </c>
      <c r="Q12" s="26">
        <v>43539.51967</v>
      </c>
      <c r="R12" s="31">
        <f t="shared" si="8"/>
        <v>16.7509944</v>
      </c>
      <c r="S12" s="26">
        <v>0.0</v>
      </c>
      <c r="T12" s="31">
        <f t="shared" si="9"/>
        <v>0</v>
      </c>
      <c r="U12" s="26">
        <v>0.0</v>
      </c>
      <c r="V12" s="31">
        <f t="shared" si="10"/>
        <v>0</v>
      </c>
      <c r="W12" s="26">
        <v>11946.155410000001</v>
      </c>
      <c r="X12" s="31">
        <f t="shared" si="11"/>
        <v>4.596053974</v>
      </c>
      <c r="Y12" s="26">
        <v>10106.7299</v>
      </c>
      <c r="Z12" s="31">
        <f t="shared" si="12"/>
        <v>3.888370319</v>
      </c>
      <c r="AA12" s="26">
        <v>1638.3075</v>
      </c>
      <c r="AB12" s="31">
        <f t="shared" si="13"/>
        <v>0.6303073614</v>
      </c>
      <c r="AC12" s="26">
        <v>2273.2629699999998</v>
      </c>
      <c r="AD12" s="31">
        <f t="shared" si="14"/>
        <v>0.8745942898</v>
      </c>
      <c r="AE12" s="26">
        <v>6426.484699999999</v>
      </c>
      <c r="AF12" s="31">
        <f t="shared" si="15"/>
        <v>2.472466625</v>
      </c>
      <c r="AG12" s="26">
        <v>0.0</v>
      </c>
      <c r="AH12" s="31">
        <f t="shared" si="16"/>
        <v>0</v>
      </c>
      <c r="AI12" s="70"/>
      <c r="AJ12" s="71">
        <f t="shared" si="17"/>
        <v>0</v>
      </c>
      <c r="AK12" s="26">
        <v>351.79999</v>
      </c>
      <c r="AL12" s="31">
        <f t="shared" si="18"/>
        <v>0.1353482929</v>
      </c>
      <c r="AM12" s="26">
        <v>0.0</v>
      </c>
      <c r="AN12" s="31">
        <f t="shared" si="19"/>
        <v>0</v>
      </c>
      <c r="AO12" s="26">
        <v>7031.81116</v>
      </c>
      <c r="AP12" s="31">
        <f t="shared" si="20"/>
        <v>2.70535436</v>
      </c>
      <c r="AQ12" s="9"/>
      <c r="AR12" s="9"/>
      <c r="AS12" s="9"/>
      <c r="AT12" s="9"/>
      <c r="AU12" s="9"/>
      <c r="AV12" s="9"/>
      <c r="AW12" s="9"/>
      <c r="AX12" s="9"/>
      <c r="AY12" s="9"/>
      <c r="AZ12" s="9"/>
      <c r="BA12" s="9"/>
      <c r="BB12" s="9"/>
      <c r="BC12" s="9"/>
    </row>
    <row r="13">
      <c r="A13" s="25" t="s">
        <v>44</v>
      </c>
      <c r="B13" s="26">
        <v>608713.3621390008</v>
      </c>
      <c r="C13" s="26">
        <v>133794.0</v>
      </c>
      <c r="D13" s="31">
        <f t="shared" si="1"/>
        <v>21.97980336</v>
      </c>
      <c r="E13" s="26">
        <v>1941.4478399999998</v>
      </c>
      <c r="F13" s="31">
        <f t="shared" si="2"/>
        <v>1.451072425</v>
      </c>
      <c r="G13" s="26">
        <v>37641.798701</v>
      </c>
      <c r="H13" s="31">
        <f t="shared" si="3"/>
        <v>28.13414555</v>
      </c>
      <c r="I13" s="26">
        <v>5275.459532</v>
      </c>
      <c r="J13" s="31">
        <f t="shared" si="4"/>
        <v>3.942971682</v>
      </c>
      <c r="K13" s="26">
        <v>0.0</v>
      </c>
      <c r="L13" s="31">
        <f t="shared" si="5"/>
        <v>0</v>
      </c>
      <c r="M13" s="26">
        <v>0.0</v>
      </c>
      <c r="N13" s="31">
        <f t="shared" si="6"/>
        <v>0</v>
      </c>
      <c r="O13" s="26">
        <v>5862.542123000001</v>
      </c>
      <c r="P13" s="31">
        <f t="shared" si="7"/>
        <v>4.381767585</v>
      </c>
      <c r="Q13" s="26">
        <v>9823.659361</v>
      </c>
      <c r="R13" s="31">
        <f t="shared" si="8"/>
        <v>7.34237661</v>
      </c>
      <c r="S13" s="26">
        <v>0.0</v>
      </c>
      <c r="T13" s="31">
        <f t="shared" si="9"/>
        <v>0</v>
      </c>
      <c r="U13" s="26">
        <v>0.0</v>
      </c>
      <c r="V13" s="31">
        <f t="shared" si="10"/>
        <v>0</v>
      </c>
      <c r="W13" s="26">
        <v>53.648392</v>
      </c>
      <c r="X13" s="31">
        <f t="shared" si="11"/>
        <v>0.04009775625</v>
      </c>
      <c r="Y13" s="26">
        <v>6530.323772000001</v>
      </c>
      <c r="Z13" s="31">
        <f t="shared" si="12"/>
        <v>4.880879391</v>
      </c>
      <c r="AA13" s="26">
        <v>1286.800952</v>
      </c>
      <c r="AB13" s="31">
        <f t="shared" si="13"/>
        <v>0.9617777718</v>
      </c>
      <c r="AC13" s="26">
        <v>467.96285</v>
      </c>
      <c r="AD13" s="31">
        <f t="shared" si="14"/>
        <v>0.3497637039</v>
      </c>
      <c r="AE13" s="26">
        <v>0.0</v>
      </c>
      <c r="AF13" s="31">
        <f t="shared" si="15"/>
        <v>0</v>
      </c>
      <c r="AG13" s="26">
        <v>2120.16842</v>
      </c>
      <c r="AH13" s="31">
        <f t="shared" si="16"/>
        <v>1.584651345</v>
      </c>
      <c r="AI13" s="70"/>
      <c r="AJ13" s="71">
        <f t="shared" si="17"/>
        <v>0</v>
      </c>
      <c r="AK13" s="26">
        <v>111.96006</v>
      </c>
      <c r="AL13" s="31">
        <f t="shared" si="18"/>
        <v>0.0836809274</v>
      </c>
      <c r="AM13" s="26">
        <v>508.246291</v>
      </c>
      <c r="AN13" s="31">
        <f t="shared" si="19"/>
        <v>0.3798722596</v>
      </c>
      <c r="AO13" s="26">
        <v>6187.974979999999</v>
      </c>
      <c r="AP13" s="31">
        <f t="shared" si="20"/>
        <v>4.625001854</v>
      </c>
      <c r="AQ13" s="9"/>
      <c r="AR13" s="9"/>
      <c r="AS13" s="9"/>
      <c r="AT13" s="9"/>
      <c r="AU13" s="9"/>
      <c r="AV13" s="9"/>
      <c r="AW13" s="9"/>
      <c r="AX13" s="9"/>
      <c r="AY13" s="9"/>
      <c r="AZ13" s="9"/>
      <c r="BA13" s="9"/>
      <c r="BB13" s="9"/>
      <c r="BC13" s="9"/>
    </row>
    <row r="14">
      <c r="A14" s="25" t="s">
        <v>46</v>
      </c>
      <c r="B14" s="26">
        <v>3210821.0527700037</v>
      </c>
      <c r="C14" s="26">
        <v>733207.0</v>
      </c>
      <c r="D14" s="31">
        <f t="shared" si="1"/>
        <v>22.83549871</v>
      </c>
      <c r="E14" s="26">
        <v>36220.67461</v>
      </c>
      <c r="F14" s="31">
        <f t="shared" si="2"/>
        <v>4.940033934</v>
      </c>
      <c r="G14" s="26">
        <v>548623.40585</v>
      </c>
      <c r="H14" s="31">
        <f t="shared" si="3"/>
        <v>74.82517295</v>
      </c>
      <c r="I14" s="26">
        <v>31316.58294</v>
      </c>
      <c r="J14" s="31">
        <f t="shared" si="4"/>
        <v>4.271178936</v>
      </c>
      <c r="K14" s="26">
        <v>17874.8934</v>
      </c>
      <c r="L14" s="31">
        <f t="shared" si="5"/>
        <v>2.437905448</v>
      </c>
      <c r="M14" s="26">
        <v>18101.84732</v>
      </c>
      <c r="N14" s="31">
        <f t="shared" si="6"/>
        <v>2.468859043</v>
      </c>
      <c r="O14" s="26">
        <v>206171.07275999998</v>
      </c>
      <c r="P14" s="31">
        <f t="shared" si="7"/>
        <v>28.11908135</v>
      </c>
      <c r="Q14" s="26">
        <v>187822.38858</v>
      </c>
      <c r="R14" s="31">
        <f t="shared" si="8"/>
        <v>25.61655693</v>
      </c>
      <c r="S14" s="26">
        <v>0.0</v>
      </c>
      <c r="T14" s="31">
        <f t="shared" si="9"/>
        <v>0</v>
      </c>
      <c r="U14" s="26">
        <v>5727.6686</v>
      </c>
      <c r="V14" s="31">
        <f t="shared" si="10"/>
        <v>0.7811802942</v>
      </c>
      <c r="W14" s="26">
        <v>13825.452599999999</v>
      </c>
      <c r="X14" s="31">
        <f t="shared" si="11"/>
        <v>1.885613831</v>
      </c>
      <c r="Y14" s="26">
        <v>201718.61383000002</v>
      </c>
      <c r="Z14" s="31">
        <f t="shared" si="12"/>
        <v>27.51182324</v>
      </c>
      <c r="AA14" s="26">
        <v>11915.902000000002</v>
      </c>
      <c r="AB14" s="31">
        <f t="shared" si="13"/>
        <v>1.625175701</v>
      </c>
      <c r="AC14" s="26">
        <v>2294.8618</v>
      </c>
      <c r="AD14" s="31">
        <f t="shared" si="14"/>
        <v>0.3129896196</v>
      </c>
      <c r="AE14" s="26">
        <v>0.0</v>
      </c>
      <c r="AF14" s="31">
        <f t="shared" si="15"/>
        <v>0</v>
      </c>
      <c r="AG14" s="26">
        <v>1336.4513</v>
      </c>
      <c r="AH14" s="31">
        <f t="shared" si="16"/>
        <v>0.1822747601</v>
      </c>
      <c r="AI14" s="70"/>
      <c r="AJ14" s="71">
        <f t="shared" si="17"/>
        <v>0</v>
      </c>
      <c r="AK14" s="26">
        <v>19094.30353</v>
      </c>
      <c r="AL14" s="31">
        <f t="shared" si="18"/>
        <v>2.604217299</v>
      </c>
      <c r="AM14" s="26">
        <v>16049.75621</v>
      </c>
      <c r="AN14" s="31">
        <f t="shared" si="19"/>
        <v>2.188980221</v>
      </c>
      <c r="AO14" s="26">
        <v>32355.82505</v>
      </c>
      <c r="AP14" s="31">
        <f t="shared" si="20"/>
        <v>4.412918187</v>
      </c>
      <c r="AQ14" s="9"/>
      <c r="AR14" s="9"/>
      <c r="AS14" s="9"/>
      <c r="AT14" s="9"/>
      <c r="AU14" s="9"/>
      <c r="AV14" s="9"/>
      <c r="AW14" s="9"/>
      <c r="AX14" s="9"/>
      <c r="AY14" s="9"/>
      <c r="AZ14" s="9"/>
      <c r="BA14" s="9"/>
      <c r="BB14" s="9"/>
      <c r="BC14" s="9"/>
    </row>
    <row r="15">
      <c r="A15" s="25" t="s">
        <v>48</v>
      </c>
      <c r="B15" s="26">
        <v>4117581.2881100015</v>
      </c>
      <c r="C15" s="26">
        <v>1344298.0</v>
      </c>
      <c r="D15" s="31">
        <f t="shared" si="1"/>
        <v>32.64775862</v>
      </c>
      <c r="E15" s="26">
        <v>22687.1123</v>
      </c>
      <c r="F15" s="31">
        <f t="shared" si="2"/>
        <v>1.687654992</v>
      </c>
      <c r="G15" s="26">
        <v>874026.5315899998</v>
      </c>
      <c r="H15" s="31">
        <f t="shared" si="3"/>
        <v>65.01731994</v>
      </c>
      <c r="I15" s="26">
        <v>100409.91100000001</v>
      </c>
      <c r="J15" s="31">
        <f t="shared" si="4"/>
        <v>7.469319377</v>
      </c>
      <c r="K15" s="26">
        <v>58605.2114</v>
      </c>
      <c r="L15" s="31">
        <f t="shared" si="5"/>
        <v>4.359540176</v>
      </c>
      <c r="M15" s="26">
        <v>39563.3573</v>
      </c>
      <c r="N15" s="31">
        <f t="shared" si="6"/>
        <v>2.943049629</v>
      </c>
      <c r="O15" s="26">
        <v>352437.00713000004</v>
      </c>
      <c r="P15" s="31">
        <f t="shared" si="7"/>
        <v>26.21717857</v>
      </c>
      <c r="Q15" s="26">
        <v>357270.76187000016</v>
      </c>
      <c r="R15" s="31">
        <f t="shared" si="8"/>
        <v>26.57675321</v>
      </c>
      <c r="S15" s="26">
        <v>0.0</v>
      </c>
      <c r="T15" s="31">
        <f t="shared" si="9"/>
        <v>0</v>
      </c>
      <c r="U15" s="26">
        <v>11313.9301</v>
      </c>
      <c r="V15" s="31">
        <f t="shared" si="10"/>
        <v>0.8416236653</v>
      </c>
      <c r="W15" s="26">
        <v>194926.8985</v>
      </c>
      <c r="X15" s="31">
        <f t="shared" si="11"/>
        <v>14.50027438</v>
      </c>
      <c r="Y15" s="26">
        <v>306698.06897</v>
      </c>
      <c r="Z15" s="31">
        <f t="shared" si="12"/>
        <v>22.81473817</v>
      </c>
      <c r="AA15" s="26">
        <v>93152.4941</v>
      </c>
      <c r="AB15" s="31">
        <f t="shared" si="13"/>
        <v>6.929452703</v>
      </c>
      <c r="AC15" s="26">
        <v>28955.001879999996</v>
      </c>
      <c r="AD15" s="31">
        <f t="shared" si="14"/>
        <v>2.153912442</v>
      </c>
      <c r="AE15" s="26">
        <v>1667.6283</v>
      </c>
      <c r="AF15" s="31">
        <f t="shared" si="15"/>
        <v>0.124051981</v>
      </c>
      <c r="AG15" s="26">
        <v>106124.6374</v>
      </c>
      <c r="AH15" s="31">
        <f t="shared" si="16"/>
        <v>7.894427977</v>
      </c>
      <c r="AI15" s="70"/>
      <c r="AJ15" s="71">
        <f t="shared" si="17"/>
        <v>0</v>
      </c>
      <c r="AK15" s="26">
        <v>107348.78220000002</v>
      </c>
      <c r="AL15" s="31">
        <f t="shared" si="18"/>
        <v>7.985489988</v>
      </c>
      <c r="AM15" s="26">
        <v>123334.60979999999</v>
      </c>
      <c r="AN15" s="31">
        <f t="shared" si="19"/>
        <v>9.174648017</v>
      </c>
      <c r="AO15" s="26">
        <v>70078.40447000001</v>
      </c>
      <c r="AP15" s="31">
        <f t="shared" si="20"/>
        <v>5.213011138</v>
      </c>
      <c r="AQ15" s="9"/>
      <c r="AR15" s="9"/>
      <c r="AS15" s="9"/>
      <c r="AT15" s="9"/>
      <c r="AU15" s="9"/>
      <c r="AV15" s="9"/>
      <c r="AW15" s="9"/>
      <c r="AX15" s="9"/>
      <c r="AY15" s="9"/>
      <c r="AZ15" s="9"/>
      <c r="BA15" s="9"/>
      <c r="BB15" s="9"/>
      <c r="BC15" s="9"/>
    </row>
    <row r="16">
      <c r="A16" s="25" t="s">
        <v>50</v>
      </c>
      <c r="B16" s="26">
        <v>437023.2581300002</v>
      </c>
      <c r="C16" s="26">
        <v>126433.0</v>
      </c>
      <c r="D16" s="31">
        <f t="shared" si="1"/>
        <v>28.93049687</v>
      </c>
      <c r="E16" s="26">
        <v>165.34</v>
      </c>
      <c r="F16" s="31">
        <f t="shared" si="2"/>
        <v>0.1307728204</v>
      </c>
      <c r="G16" s="26">
        <v>72721.70416000001</v>
      </c>
      <c r="H16" s="31">
        <f t="shared" si="3"/>
        <v>57.51797724</v>
      </c>
      <c r="I16" s="26">
        <v>3925.7123500000002</v>
      </c>
      <c r="J16" s="31">
        <f t="shared" si="4"/>
        <v>3.104974453</v>
      </c>
      <c r="K16" s="26">
        <v>504.24142</v>
      </c>
      <c r="L16" s="31">
        <f t="shared" si="5"/>
        <v>0.3988210515</v>
      </c>
      <c r="M16" s="26">
        <v>234.33495</v>
      </c>
      <c r="N16" s="31">
        <f t="shared" si="6"/>
        <v>0.1853431857</v>
      </c>
      <c r="O16" s="26">
        <v>25042.814070000004</v>
      </c>
      <c r="P16" s="31">
        <f t="shared" si="7"/>
        <v>19.80718172</v>
      </c>
      <c r="Q16" s="26">
        <v>28383.76112</v>
      </c>
      <c r="R16" s="31">
        <f t="shared" si="8"/>
        <v>22.44964615</v>
      </c>
      <c r="S16" s="26">
        <v>0.0</v>
      </c>
      <c r="T16" s="31">
        <f t="shared" si="9"/>
        <v>0</v>
      </c>
      <c r="U16" s="26">
        <v>1054.6482</v>
      </c>
      <c r="V16" s="31">
        <f t="shared" si="10"/>
        <v>0.8341557979</v>
      </c>
      <c r="W16" s="26">
        <v>4296.70693</v>
      </c>
      <c r="X16" s="31">
        <f t="shared" si="11"/>
        <v>3.398406215</v>
      </c>
      <c r="Y16" s="26">
        <v>15473.588560000002</v>
      </c>
      <c r="Z16" s="31">
        <f t="shared" si="12"/>
        <v>12.23856791</v>
      </c>
      <c r="AA16" s="26">
        <v>184.53827</v>
      </c>
      <c r="AB16" s="31">
        <f t="shared" si="13"/>
        <v>0.1459573608</v>
      </c>
      <c r="AC16" s="26">
        <v>3081.59241</v>
      </c>
      <c r="AD16" s="31">
        <f t="shared" si="14"/>
        <v>2.43733235</v>
      </c>
      <c r="AE16" s="26">
        <v>0.0</v>
      </c>
      <c r="AF16" s="31">
        <f t="shared" si="15"/>
        <v>0</v>
      </c>
      <c r="AG16" s="26">
        <v>184.53827</v>
      </c>
      <c r="AH16" s="31">
        <f t="shared" si="16"/>
        <v>0.1459573608</v>
      </c>
      <c r="AI16" s="70"/>
      <c r="AJ16" s="71">
        <f t="shared" si="17"/>
        <v>0</v>
      </c>
      <c r="AK16" s="26">
        <v>0.0</v>
      </c>
      <c r="AL16" s="31">
        <f t="shared" si="18"/>
        <v>0</v>
      </c>
      <c r="AM16" s="26">
        <v>2676.1594900000005</v>
      </c>
      <c r="AN16" s="31">
        <f t="shared" si="19"/>
        <v>2.116662177</v>
      </c>
      <c r="AO16" s="26">
        <v>3797.29838</v>
      </c>
      <c r="AP16" s="31">
        <f t="shared" si="20"/>
        <v>3.003407639</v>
      </c>
      <c r="AQ16" s="9"/>
      <c r="AR16" s="9"/>
      <c r="AS16" s="9"/>
      <c r="AT16" s="9"/>
      <c r="AU16" s="9"/>
      <c r="AV16" s="9"/>
      <c r="AW16" s="9"/>
      <c r="AX16" s="9"/>
      <c r="AY16" s="9"/>
      <c r="AZ16" s="9"/>
      <c r="BA16" s="9"/>
      <c r="BB16" s="9"/>
      <c r="BC16" s="9"/>
    </row>
    <row r="17">
      <c r="A17" s="25" t="s">
        <v>51</v>
      </c>
      <c r="B17" s="26">
        <v>795978.5354400002</v>
      </c>
      <c r="C17" s="26">
        <v>140889.0</v>
      </c>
      <c r="D17" s="31">
        <f t="shared" si="1"/>
        <v>17.70010041</v>
      </c>
      <c r="E17" s="26">
        <v>1744.9229</v>
      </c>
      <c r="F17" s="31">
        <f t="shared" si="2"/>
        <v>1.238508968</v>
      </c>
      <c r="G17" s="26">
        <v>96428.15099000004</v>
      </c>
      <c r="H17" s="31">
        <f t="shared" si="3"/>
        <v>68.44263994</v>
      </c>
      <c r="I17" s="26">
        <v>8895.243900000001</v>
      </c>
      <c r="J17" s="31">
        <f t="shared" si="4"/>
        <v>6.31365394</v>
      </c>
      <c r="K17" s="26">
        <v>5640.041590000001</v>
      </c>
      <c r="L17" s="31">
        <f t="shared" si="5"/>
        <v>4.003180937</v>
      </c>
      <c r="M17" s="26">
        <v>7892.1507</v>
      </c>
      <c r="N17" s="31">
        <f t="shared" si="6"/>
        <v>5.601679833</v>
      </c>
      <c r="O17" s="26">
        <v>23529.45767</v>
      </c>
      <c r="P17" s="31">
        <f t="shared" si="7"/>
        <v>16.700706</v>
      </c>
      <c r="Q17" s="26">
        <v>26426.84947</v>
      </c>
      <c r="R17" s="31">
        <f t="shared" si="8"/>
        <v>18.75721275</v>
      </c>
      <c r="S17" s="26">
        <v>3489.8457</v>
      </c>
      <c r="T17" s="31">
        <f t="shared" si="9"/>
        <v>2.477017865</v>
      </c>
      <c r="U17" s="26">
        <v>394.92999</v>
      </c>
      <c r="V17" s="31">
        <f t="shared" si="10"/>
        <v>0.2803128633</v>
      </c>
      <c r="W17" s="26">
        <v>5215.9053</v>
      </c>
      <c r="X17" s="31">
        <f t="shared" si="11"/>
        <v>3.702138066</v>
      </c>
      <c r="Y17" s="26">
        <v>1960.2229900000002</v>
      </c>
      <c r="Z17" s="31">
        <f t="shared" si="12"/>
        <v>1.391324369</v>
      </c>
      <c r="AA17" s="26">
        <v>10090.3714</v>
      </c>
      <c r="AB17" s="31">
        <f t="shared" si="13"/>
        <v>7.161929888</v>
      </c>
      <c r="AC17" s="26">
        <v>322.68381</v>
      </c>
      <c r="AD17" s="31">
        <f t="shared" si="14"/>
        <v>0.2290340694</v>
      </c>
      <c r="AE17" s="26">
        <v>5145.4956</v>
      </c>
      <c r="AF17" s="31">
        <f t="shared" si="15"/>
        <v>3.652162766</v>
      </c>
      <c r="AG17" s="26">
        <v>10001.0984</v>
      </c>
      <c r="AH17" s="31">
        <f t="shared" si="16"/>
        <v>7.098565821</v>
      </c>
      <c r="AI17" s="70"/>
      <c r="AJ17" s="71">
        <f t="shared" si="17"/>
        <v>0</v>
      </c>
      <c r="AK17" s="26">
        <v>418.73001</v>
      </c>
      <c r="AL17" s="31">
        <f t="shared" si="18"/>
        <v>0.2972056087</v>
      </c>
      <c r="AM17" s="26">
        <v>2881.59383</v>
      </c>
      <c r="AN17" s="31">
        <f t="shared" si="19"/>
        <v>2.045293692</v>
      </c>
      <c r="AO17" s="26">
        <v>1235.9656</v>
      </c>
      <c r="AP17" s="31">
        <f t="shared" si="20"/>
        <v>0.877261958</v>
      </c>
      <c r="AQ17" s="9"/>
      <c r="AR17" s="9"/>
      <c r="AS17" s="9"/>
      <c r="AT17" s="9"/>
      <c r="AU17" s="9"/>
      <c r="AV17" s="9"/>
      <c r="AW17" s="9"/>
      <c r="AX17" s="9"/>
      <c r="AY17" s="9"/>
      <c r="AZ17" s="9"/>
      <c r="BA17" s="9"/>
      <c r="BB17" s="9"/>
      <c r="BC17" s="9"/>
    </row>
    <row r="18">
      <c r="A18" s="25" t="s">
        <v>53</v>
      </c>
      <c r="B18" s="26">
        <v>1148816.0243000009</v>
      </c>
      <c r="C18" s="26">
        <v>223092.0</v>
      </c>
      <c r="D18" s="31">
        <f t="shared" si="1"/>
        <v>19.41929737</v>
      </c>
      <c r="E18" s="26">
        <v>1227.2432</v>
      </c>
      <c r="F18" s="31">
        <f t="shared" si="2"/>
        <v>0.5501063238</v>
      </c>
      <c r="G18" s="26">
        <v>75761.72113000002</v>
      </c>
      <c r="H18" s="31">
        <f t="shared" si="3"/>
        <v>33.95985563</v>
      </c>
      <c r="I18" s="26">
        <v>29764.0736</v>
      </c>
      <c r="J18" s="31">
        <f t="shared" si="4"/>
        <v>13.34161404</v>
      </c>
      <c r="K18" s="26">
        <v>4767.93374</v>
      </c>
      <c r="L18" s="31">
        <f t="shared" si="5"/>
        <v>2.137205162</v>
      </c>
      <c r="M18" s="26">
        <v>0.0</v>
      </c>
      <c r="N18" s="31">
        <f t="shared" si="6"/>
        <v>0</v>
      </c>
      <c r="O18" s="26">
        <v>24500.665229999995</v>
      </c>
      <c r="P18" s="31">
        <f t="shared" si="7"/>
        <v>10.98231457</v>
      </c>
      <c r="Q18" s="26">
        <v>21926.202839999998</v>
      </c>
      <c r="R18" s="31">
        <f t="shared" si="8"/>
        <v>9.828323221</v>
      </c>
      <c r="S18" s="26">
        <v>3781.1943</v>
      </c>
      <c r="T18" s="31">
        <f t="shared" si="9"/>
        <v>1.694903582</v>
      </c>
      <c r="U18" s="26">
        <v>1275.1483</v>
      </c>
      <c r="V18" s="31">
        <f t="shared" si="10"/>
        <v>0.5715795726</v>
      </c>
      <c r="W18" s="26">
        <v>3188.47058</v>
      </c>
      <c r="X18" s="31">
        <f t="shared" si="11"/>
        <v>1.429217803</v>
      </c>
      <c r="Y18" s="26">
        <v>25914.046299999998</v>
      </c>
      <c r="Z18" s="31">
        <f t="shared" si="12"/>
        <v>11.61585637</v>
      </c>
      <c r="AA18" s="26">
        <v>1838.86</v>
      </c>
      <c r="AB18" s="31">
        <f t="shared" si="13"/>
        <v>0.8242608431</v>
      </c>
      <c r="AC18" s="26">
        <v>0.0</v>
      </c>
      <c r="AD18" s="31">
        <f t="shared" si="14"/>
        <v>0</v>
      </c>
      <c r="AE18" s="26">
        <v>0.0</v>
      </c>
      <c r="AF18" s="31">
        <f t="shared" si="15"/>
        <v>0</v>
      </c>
      <c r="AG18" s="26">
        <v>5620.0543</v>
      </c>
      <c r="AH18" s="31">
        <f t="shared" si="16"/>
        <v>2.519164425</v>
      </c>
      <c r="AI18" s="70"/>
      <c r="AJ18" s="71">
        <f t="shared" si="17"/>
        <v>0</v>
      </c>
      <c r="AK18" s="26">
        <v>10466.9081</v>
      </c>
      <c r="AL18" s="31">
        <f t="shared" si="18"/>
        <v>4.691745154</v>
      </c>
      <c r="AM18" s="26">
        <v>10107.104700000002</v>
      </c>
      <c r="AN18" s="31">
        <f t="shared" si="19"/>
        <v>4.530464875</v>
      </c>
      <c r="AO18" s="26">
        <v>0.0</v>
      </c>
      <c r="AP18" s="31">
        <f t="shared" si="20"/>
        <v>0</v>
      </c>
      <c r="AQ18" s="9"/>
      <c r="AR18" s="9"/>
      <c r="AS18" s="9"/>
      <c r="AT18" s="9"/>
      <c r="AU18" s="9"/>
      <c r="AV18" s="9"/>
      <c r="AW18" s="9"/>
      <c r="AX18" s="9"/>
      <c r="AY18" s="9"/>
      <c r="AZ18" s="9"/>
      <c r="BA18" s="9"/>
      <c r="BB18" s="9"/>
      <c r="BC18" s="9"/>
    </row>
    <row r="19">
      <c r="A19" s="25" t="s">
        <v>54</v>
      </c>
      <c r="B19" s="26">
        <v>847079.1793600003</v>
      </c>
      <c r="C19" s="26">
        <v>167413.0</v>
      </c>
      <c r="D19" s="31">
        <f t="shared" si="1"/>
        <v>19.76355978</v>
      </c>
      <c r="E19" s="26">
        <v>804.84647</v>
      </c>
      <c r="F19" s="31">
        <f t="shared" si="2"/>
        <v>0.4807550608</v>
      </c>
      <c r="G19" s="26">
        <v>144638.40568999999</v>
      </c>
      <c r="H19" s="31">
        <f t="shared" si="3"/>
        <v>86.3961614</v>
      </c>
      <c r="I19" s="26">
        <v>17874.32097</v>
      </c>
      <c r="J19" s="31">
        <f t="shared" si="4"/>
        <v>10.67678195</v>
      </c>
      <c r="K19" s="26">
        <v>2530.98098</v>
      </c>
      <c r="L19" s="31">
        <f t="shared" si="5"/>
        <v>1.511818664</v>
      </c>
      <c r="M19" s="26">
        <v>2919.41024</v>
      </c>
      <c r="N19" s="31">
        <f t="shared" si="6"/>
        <v>1.743837241</v>
      </c>
      <c r="O19" s="26">
        <v>20786.099119999995</v>
      </c>
      <c r="P19" s="31">
        <f t="shared" si="7"/>
        <v>12.41606035</v>
      </c>
      <c r="Q19" s="26">
        <v>25325.304939999998</v>
      </c>
      <c r="R19" s="31">
        <f t="shared" si="8"/>
        <v>15.12744228</v>
      </c>
      <c r="S19" s="26">
        <v>0.0</v>
      </c>
      <c r="T19" s="31">
        <f t="shared" si="9"/>
        <v>0</v>
      </c>
      <c r="U19" s="26">
        <v>0.0</v>
      </c>
      <c r="V19" s="31">
        <f t="shared" si="10"/>
        <v>0</v>
      </c>
      <c r="W19" s="26">
        <v>3060.5667</v>
      </c>
      <c r="X19" s="31">
        <f t="shared" si="11"/>
        <v>1.828153548</v>
      </c>
      <c r="Y19" s="26">
        <v>14629.0307</v>
      </c>
      <c r="Z19" s="31">
        <f t="shared" si="12"/>
        <v>8.738288365</v>
      </c>
      <c r="AA19" s="26">
        <v>1999.6984200000002</v>
      </c>
      <c r="AB19" s="31">
        <f t="shared" si="13"/>
        <v>1.194470214</v>
      </c>
      <c r="AC19" s="26">
        <v>1681.5353799999998</v>
      </c>
      <c r="AD19" s="31">
        <f t="shared" si="14"/>
        <v>1.00442342</v>
      </c>
      <c r="AE19" s="26">
        <v>1140.9436</v>
      </c>
      <c r="AF19" s="31">
        <f t="shared" si="15"/>
        <v>0.6815143388</v>
      </c>
      <c r="AG19" s="26">
        <v>0.0</v>
      </c>
      <c r="AH19" s="31">
        <f t="shared" si="16"/>
        <v>0</v>
      </c>
      <c r="AI19" s="70"/>
      <c r="AJ19" s="71">
        <f t="shared" si="17"/>
        <v>0</v>
      </c>
      <c r="AK19" s="26">
        <v>1734.7002699999998</v>
      </c>
      <c r="AL19" s="31">
        <f t="shared" si="18"/>
        <v>1.036180147</v>
      </c>
      <c r="AM19" s="26">
        <v>687.1791</v>
      </c>
      <c r="AN19" s="31">
        <f t="shared" si="19"/>
        <v>0.4104693781</v>
      </c>
      <c r="AO19" s="26">
        <v>5391.25153</v>
      </c>
      <c r="AP19" s="31">
        <f t="shared" si="20"/>
        <v>3.220330279</v>
      </c>
      <c r="AQ19" s="9"/>
      <c r="AR19" s="9"/>
      <c r="AS19" s="9"/>
      <c r="AT19" s="9"/>
      <c r="AU19" s="9"/>
      <c r="AV19" s="9"/>
      <c r="AW19" s="9"/>
      <c r="AX19" s="9"/>
      <c r="AY19" s="9"/>
      <c r="AZ19" s="9"/>
      <c r="BA19" s="9"/>
      <c r="BB19" s="9"/>
      <c r="BC19" s="9"/>
    </row>
    <row r="20">
      <c r="A20" s="25" t="s">
        <v>56</v>
      </c>
      <c r="B20" s="26">
        <v>1032784.6752500004</v>
      </c>
      <c r="C20" s="26">
        <v>155309.0</v>
      </c>
      <c r="D20" s="31">
        <f t="shared" si="1"/>
        <v>15.03788773</v>
      </c>
      <c r="E20" s="26">
        <v>0.0</v>
      </c>
      <c r="F20" s="31">
        <f t="shared" si="2"/>
        <v>0</v>
      </c>
      <c r="G20" s="26">
        <v>91377.275215</v>
      </c>
      <c r="H20" s="31">
        <f t="shared" si="3"/>
        <v>58.83578879</v>
      </c>
      <c r="I20" s="26">
        <v>7789.2914599999995</v>
      </c>
      <c r="J20" s="31">
        <f t="shared" si="4"/>
        <v>5.015350984</v>
      </c>
      <c r="K20" s="26">
        <v>0.0</v>
      </c>
      <c r="L20" s="31">
        <f t="shared" si="5"/>
        <v>0</v>
      </c>
      <c r="M20" s="26">
        <v>602.19489</v>
      </c>
      <c r="N20" s="31">
        <f t="shared" si="6"/>
        <v>0.3877398541</v>
      </c>
      <c r="O20" s="26">
        <v>26032.362035000002</v>
      </c>
      <c r="P20" s="31">
        <f t="shared" si="7"/>
        <v>16.76165711</v>
      </c>
      <c r="Q20" s="26">
        <v>28545.512088</v>
      </c>
      <c r="R20" s="31">
        <f t="shared" si="8"/>
        <v>18.37981835</v>
      </c>
      <c r="S20" s="26">
        <v>276.3046</v>
      </c>
      <c r="T20" s="31">
        <f t="shared" si="9"/>
        <v>0.1779063673</v>
      </c>
      <c r="U20" s="26">
        <v>1851.1244</v>
      </c>
      <c r="V20" s="31">
        <f t="shared" si="10"/>
        <v>1.191897701</v>
      </c>
      <c r="W20" s="26">
        <v>2520.21711</v>
      </c>
      <c r="X20" s="31">
        <f t="shared" si="11"/>
        <v>1.622711569</v>
      </c>
      <c r="Y20" s="26">
        <v>7775.818807</v>
      </c>
      <c r="Z20" s="31">
        <f t="shared" si="12"/>
        <v>5.006676243</v>
      </c>
      <c r="AA20" s="26">
        <v>1716.73635</v>
      </c>
      <c r="AB20" s="31">
        <f t="shared" si="13"/>
        <v>1.105368234</v>
      </c>
      <c r="AC20" s="26">
        <v>4771.104357</v>
      </c>
      <c r="AD20" s="31">
        <f t="shared" si="14"/>
        <v>3.072007647</v>
      </c>
      <c r="AE20" s="26">
        <v>276.3046</v>
      </c>
      <c r="AF20" s="31">
        <f t="shared" si="15"/>
        <v>0.1779063673</v>
      </c>
      <c r="AG20" s="26">
        <v>808.32418</v>
      </c>
      <c r="AH20" s="31">
        <f t="shared" si="16"/>
        <v>0.520461905</v>
      </c>
      <c r="AI20" s="70"/>
      <c r="AJ20" s="71">
        <f t="shared" si="17"/>
        <v>0</v>
      </c>
      <c r="AK20" s="26">
        <v>1993.04095</v>
      </c>
      <c r="AL20" s="31">
        <f t="shared" si="18"/>
        <v>1.283274601</v>
      </c>
      <c r="AM20" s="26">
        <v>3062.2031399999996</v>
      </c>
      <c r="AN20" s="31">
        <f t="shared" si="19"/>
        <v>1.971684281</v>
      </c>
      <c r="AO20" s="26">
        <v>1741.0932500000001</v>
      </c>
      <c r="AP20" s="31">
        <f t="shared" si="20"/>
        <v>1.121051098</v>
      </c>
      <c r="AQ20" s="9"/>
      <c r="AR20" s="9"/>
      <c r="AS20" s="9"/>
      <c r="AT20" s="9"/>
      <c r="AU20" s="9"/>
      <c r="AV20" s="9"/>
      <c r="AW20" s="9"/>
      <c r="AX20" s="9"/>
      <c r="AY20" s="9"/>
      <c r="AZ20" s="9"/>
      <c r="BA20" s="9"/>
      <c r="BB20" s="9"/>
      <c r="BC20" s="9"/>
    </row>
    <row r="21" ht="15.75" customHeight="1">
      <c r="A21" s="25" t="s">
        <v>57</v>
      </c>
      <c r="B21" s="26">
        <v>468435.53889999975</v>
      </c>
      <c r="C21" s="26">
        <v>58054.0</v>
      </c>
      <c r="D21" s="31">
        <f t="shared" si="1"/>
        <v>12.39316729</v>
      </c>
      <c r="E21" s="26">
        <v>0.0</v>
      </c>
      <c r="F21" s="31">
        <f t="shared" si="2"/>
        <v>0</v>
      </c>
      <c r="G21" s="26">
        <v>29111.175409999996</v>
      </c>
      <c r="H21" s="31">
        <f t="shared" si="3"/>
        <v>50.14499502</v>
      </c>
      <c r="I21" s="26">
        <v>2690.27172</v>
      </c>
      <c r="J21" s="31">
        <f t="shared" si="4"/>
        <v>4.634085024</v>
      </c>
      <c r="K21" s="26">
        <v>0.0</v>
      </c>
      <c r="L21" s="31">
        <f t="shared" si="5"/>
        <v>0</v>
      </c>
      <c r="M21" s="26">
        <v>0.0</v>
      </c>
      <c r="N21" s="31">
        <f t="shared" si="6"/>
        <v>0</v>
      </c>
      <c r="O21" s="26">
        <v>17367.59205</v>
      </c>
      <c r="P21" s="31">
        <f t="shared" si="7"/>
        <v>29.91627114</v>
      </c>
      <c r="Q21" s="26">
        <v>12320.38893</v>
      </c>
      <c r="R21" s="31">
        <f t="shared" si="8"/>
        <v>21.22229119</v>
      </c>
      <c r="S21" s="26">
        <v>0.0</v>
      </c>
      <c r="T21" s="31">
        <f t="shared" si="9"/>
        <v>0</v>
      </c>
      <c r="U21" s="26">
        <v>0.0</v>
      </c>
      <c r="V21" s="31">
        <f t="shared" si="10"/>
        <v>0</v>
      </c>
      <c r="W21" s="26">
        <v>0.0</v>
      </c>
      <c r="X21" s="31">
        <f t="shared" si="11"/>
        <v>0</v>
      </c>
      <c r="Y21" s="26">
        <v>828.31</v>
      </c>
      <c r="Z21" s="31">
        <f t="shared" si="12"/>
        <v>1.426792297</v>
      </c>
      <c r="AA21" s="26">
        <v>0.0</v>
      </c>
      <c r="AB21" s="31">
        <f t="shared" si="13"/>
        <v>0</v>
      </c>
      <c r="AC21" s="26">
        <v>1497.1179</v>
      </c>
      <c r="AD21" s="31">
        <f t="shared" si="14"/>
        <v>2.578836773</v>
      </c>
      <c r="AE21" s="26">
        <v>0.0</v>
      </c>
      <c r="AF21" s="31">
        <f t="shared" si="15"/>
        <v>0</v>
      </c>
      <c r="AG21" s="26">
        <v>0.0</v>
      </c>
      <c r="AH21" s="31">
        <f t="shared" si="16"/>
        <v>0</v>
      </c>
      <c r="AI21" s="70"/>
      <c r="AJ21" s="71">
        <f t="shared" si="17"/>
        <v>0</v>
      </c>
      <c r="AK21" s="26">
        <v>851.95587</v>
      </c>
      <c r="AL21" s="31">
        <f t="shared" si="18"/>
        <v>1.467523116</v>
      </c>
      <c r="AM21" s="26">
        <v>3284.45907</v>
      </c>
      <c r="AN21" s="31">
        <f t="shared" si="19"/>
        <v>5.657593051</v>
      </c>
      <c r="AO21" s="26">
        <v>3236.51259</v>
      </c>
      <c r="AP21" s="31">
        <f t="shared" si="20"/>
        <v>5.5750036</v>
      </c>
      <c r="AQ21" s="9"/>
      <c r="AR21" s="9"/>
      <c r="AS21" s="9"/>
      <c r="AT21" s="9"/>
      <c r="AU21" s="9"/>
      <c r="AV21" s="9"/>
      <c r="AW21" s="9"/>
      <c r="AX21" s="9"/>
      <c r="AY21" s="9"/>
      <c r="AZ21" s="9"/>
      <c r="BA21" s="9"/>
      <c r="BB21" s="9"/>
      <c r="BC21" s="9"/>
    </row>
    <row r="22" ht="15.75" customHeight="1">
      <c r="A22" s="25" t="s">
        <v>59</v>
      </c>
      <c r="B22" s="26">
        <v>436933.25559</v>
      </c>
      <c r="C22" s="26">
        <v>55371.0</v>
      </c>
      <c r="D22" s="31">
        <f t="shared" si="1"/>
        <v>12.67264492</v>
      </c>
      <c r="E22" s="26">
        <v>591.8443</v>
      </c>
      <c r="F22" s="31">
        <f t="shared" si="2"/>
        <v>1.068870528</v>
      </c>
      <c r="G22" s="26">
        <v>30526.969269999994</v>
      </c>
      <c r="H22" s="31">
        <f t="shared" si="3"/>
        <v>55.13169217</v>
      </c>
      <c r="I22" s="26">
        <v>1703.34879</v>
      </c>
      <c r="J22" s="31">
        <f t="shared" si="4"/>
        <v>3.076247115</v>
      </c>
      <c r="K22" s="26">
        <v>0.0</v>
      </c>
      <c r="L22" s="31">
        <f t="shared" si="5"/>
        <v>0</v>
      </c>
      <c r="M22" s="26">
        <v>0.0</v>
      </c>
      <c r="N22" s="31">
        <f t="shared" si="6"/>
        <v>0</v>
      </c>
      <c r="O22" s="26">
        <v>9700.253410000001</v>
      </c>
      <c r="P22" s="31">
        <f t="shared" si="7"/>
        <v>17.5186531</v>
      </c>
      <c r="Q22" s="26">
        <v>6204.12003</v>
      </c>
      <c r="R22" s="31">
        <f t="shared" si="8"/>
        <v>11.20463786</v>
      </c>
      <c r="S22" s="26">
        <v>0.0</v>
      </c>
      <c r="T22" s="31">
        <f t="shared" si="9"/>
        <v>0</v>
      </c>
      <c r="U22" s="26">
        <v>0.0</v>
      </c>
      <c r="V22" s="31">
        <f t="shared" si="10"/>
        <v>0</v>
      </c>
      <c r="W22" s="26">
        <v>487.94</v>
      </c>
      <c r="X22" s="31">
        <f t="shared" si="11"/>
        <v>0.8812194109</v>
      </c>
      <c r="Y22" s="26">
        <v>7676.753809999999</v>
      </c>
      <c r="Z22" s="31">
        <f t="shared" si="12"/>
        <v>13.86421378</v>
      </c>
      <c r="AA22" s="26">
        <v>0.0</v>
      </c>
      <c r="AB22" s="31">
        <f t="shared" si="13"/>
        <v>0</v>
      </c>
      <c r="AC22" s="26">
        <v>0.0</v>
      </c>
      <c r="AD22" s="31">
        <f t="shared" si="14"/>
        <v>0</v>
      </c>
      <c r="AE22" s="26">
        <v>0.0</v>
      </c>
      <c r="AF22" s="31">
        <f t="shared" si="15"/>
        <v>0</v>
      </c>
      <c r="AG22" s="26">
        <v>0.0</v>
      </c>
      <c r="AH22" s="31">
        <f t="shared" si="16"/>
        <v>0</v>
      </c>
      <c r="AI22" s="70"/>
      <c r="AJ22" s="71">
        <f t="shared" si="17"/>
        <v>0</v>
      </c>
      <c r="AK22" s="26">
        <v>0.0</v>
      </c>
      <c r="AL22" s="31">
        <f t="shared" si="18"/>
        <v>0</v>
      </c>
      <c r="AM22" s="26">
        <v>682.18183</v>
      </c>
      <c r="AN22" s="31">
        <f t="shared" si="19"/>
        <v>1.232020065</v>
      </c>
      <c r="AO22" s="26">
        <v>402.66968</v>
      </c>
      <c r="AP22" s="31">
        <f t="shared" si="20"/>
        <v>0.727221253</v>
      </c>
      <c r="AQ22" s="9"/>
      <c r="AR22" s="9"/>
      <c r="AS22" s="9"/>
      <c r="AT22" s="9"/>
      <c r="AU22" s="9"/>
      <c r="AV22" s="9"/>
      <c r="AW22" s="9"/>
      <c r="AX22" s="9"/>
      <c r="AY22" s="9"/>
      <c r="AZ22" s="9"/>
      <c r="BA22" s="9"/>
      <c r="BB22" s="9"/>
      <c r="BC22" s="9"/>
    </row>
    <row r="23" ht="15.75" customHeight="1">
      <c r="A23" s="25" t="s">
        <v>60</v>
      </c>
      <c r="B23" s="26">
        <v>696681.6874700001</v>
      </c>
      <c r="C23" s="26">
        <v>93572.0</v>
      </c>
      <c r="D23" s="31">
        <f t="shared" si="1"/>
        <v>13.43109797</v>
      </c>
      <c r="E23" s="26">
        <v>0.0</v>
      </c>
      <c r="F23" s="31">
        <f t="shared" si="2"/>
        <v>0</v>
      </c>
      <c r="G23" s="26">
        <v>57883.99033</v>
      </c>
      <c r="H23" s="31">
        <f t="shared" si="3"/>
        <v>61.86037525</v>
      </c>
      <c r="I23" s="26">
        <v>3068.6129</v>
      </c>
      <c r="J23" s="31">
        <f t="shared" si="4"/>
        <v>3.279413607</v>
      </c>
      <c r="K23" s="26">
        <v>1747.1395</v>
      </c>
      <c r="L23" s="31">
        <f t="shared" si="5"/>
        <v>1.867160582</v>
      </c>
      <c r="M23" s="26">
        <v>2959.6029</v>
      </c>
      <c r="N23" s="31">
        <f t="shared" si="6"/>
        <v>3.162915081</v>
      </c>
      <c r="O23" s="26">
        <v>3832.57999</v>
      </c>
      <c r="P23" s="31">
        <f t="shared" si="7"/>
        <v>4.095861999</v>
      </c>
      <c r="Q23" s="26">
        <v>5785.924209999999</v>
      </c>
      <c r="R23" s="31">
        <f t="shared" si="8"/>
        <v>6.183392692</v>
      </c>
      <c r="S23" s="26">
        <v>0.0</v>
      </c>
      <c r="T23" s="31">
        <f t="shared" si="9"/>
        <v>0</v>
      </c>
      <c r="U23" s="26">
        <v>1054.5</v>
      </c>
      <c r="V23" s="31">
        <f t="shared" si="10"/>
        <v>1.126939683</v>
      </c>
      <c r="W23" s="26">
        <v>11336.52</v>
      </c>
      <c r="X23" s="31">
        <f t="shared" si="11"/>
        <v>12.1152909</v>
      </c>
      <c r="Y23" s="26">
        <v>2163.7927</v>
      </c>
      <c r="Z23" s="31">
        <f t="shared" si="12"/>
        <v>2.312436092</v>
      </c>
      <c r="AA23" s="26">
        <v>0.0</v>
      </c>
      <c r="AB23" s="31">
        <f t="shared" si="13"/>
        <v>0</v>
      </c>
      <c r="AC23" s="26">
        <v>0.0</v>
      </c>
      <c r="AD23" s="31">
        <f t="shared" si="14"/>
        <v>0</v>
      </c>
      <c r="AE23" s="26">
        <v>0.0</v>
      </c>
      <c r="AF23" s="31">
        <f t="shared" si="15"/>
        <v>0</v>
      </c>
      <c r="AG23" s="26">
        <v>3011.709</v>
      </c>
      <c r="AH23" s="31">
        <f t="shared" si="16"/>
        <v>3.21860065</v>
      </c>
      <c r="AI23" s="70"/>
      <c r="AJ23" s="71">
        <f t="shared" si="17"/>
        <v>0</v>
      </c>
      <c r="AK23" s="26">
        <v>7075.249</v>
      </c>
      <c r="AL23" s="31">
        <f t="shared" si="18"/>
        <v>7.561288633</v>
      </c>
      <c r="AM23" s="26">
        <v>8920.9441</v>
      </c>
      <c r="AN23" s="31">
        <f t="shared" si="19"/>
        <v>9.533775168</v>
      </c>
      <c r="AO23" s="26">
        <v>348.5</v>
      </c>
      <c r="AP23" s="31">
        <f t="shared" si="20"/>
        <v>0.3724404736</v>
      </c>
      <c r="AQ23" s="9"/>
      <c r="AR23" s="9"/>
      <c r="AS23" s="9"/>
      <c r="AT23" s="9"/>
      <c r="AU23" s="9"/>
      <c r="AV23" s="9"/>
      <c r="AW23" s="9"/>
      <c r="AX23" s="9"/>
      <c r="AY23" s="9"/>
      <c r="AZ23" s="9"/>
      <c r="BA23" s="9"/>
      <c r="BB23" s="9"/>
      <c r="BC23" s="9"/>
    </row>
    <row r="24" ht="15.75" customHeight="1">
      <c r="A24" s="25" t="s">
        <v>63</v>
      </c>
      <c r="B24" s="26">
        <v>924109.8131200004</v>
      </c>
      <c r="C24" s="26">
        <v>140430.0</v>
      </c>
      <c r="D24" s="31">
        <f t="shared" si="1"/>
        <v>15.19624594</v>
      </c>
      <c r="E24" s="26">
        <v>5036.93696</v>
      </c>
      <c r="F24" s="31">
        <f t="shared" si="2"/>
        <v>3.586795528</v>
      </c>
      <c r="G24" s="26">
        <v>117770.35688000002</v>
      </c>
      <c r="H24" s="31">
        <f t="shared" si="3"/>
        <v>83.86410089</v>
      </c>
      <c r="I24" s="26">
        <v>2863.6125</v>
      </c>
      <c r="J24" s="31">
        <f t="shared" si="4"/>
        <v>2.039174322</v>
      </c>
      <c r="K24" s="26">
        <v>0.0</v>
      </c>
      <c r="L24" s="31">
        <f t="shared" si="5"/>
        <v>0</v>
      </c>
      <c r="M24" s="26">
        <v>0.0</v>
      </c>
      <c r="N24" s="31">
        <f t="shared" si="6"/>
        <v>0</v>
      </c>
      <c r="O24" s="26">
        <v>26502.55677</v>
      </c>
      <c r="P24" s="31">
        <f t="shared" si="7"/>
        <v>18.87243236</v>
      </c>
      <c r="Q24" s="26">
        <v>35074.53713</v>
      </c>
      <c r="R24" s="31">
        <f t="shared" si="8"/>
        <v>24.97652719</v>
      </c>
      <c r="S24" s="26">
        <v>0.0</v>
      </c>
      <c r="T24" s="31">
        <f t="shared" si="9"/>
        <v>0</v>
      </c>
      <c r="U24" s="26">
        <v>0.0</v>
      </c>
      <c r="V24" s="31">
        <f t="shared" si="10"/>
        <v>0</v>
      </c>
      <c r="W24" s="26">
        <v>6366.13494</v>
      </c>
      <c r="X24" s="31">
        <f t="shared" si="11"/>
        <v>4.533315488</v>
      </c>
      <c r="Y24" s="26">
        <v>20821.4676</v>
      </c>
      <c r="Z24" s="31">
        <f t="shared" si="12"/>
        <v>14.82693698</v>
      </c>
      <c r="AA24" s="26">
        <v>3080.56157</v>
      </c>
      <c r="AB24" s="31">
        <f t="shared" si="13"/>
        <v>2.193663441</v>
      </c>
      <c r="AC24" s="26">
        <v>8055.140560000001</v>
      </c>
      <c r="AD24" s="31">
        <f t="shared" si="14"/>
        <v>5.736053949</v>
      </c>
      <c r="AE24" s="26">
        <v>0.0</v>
      </c>
      <c r="AF24" s="31">
        <f t="shared" si="15"/>
        <v>0</v>
      </c>
      <c r="AG24" s="26">
        <v>0.0</v>
      </c>
      <c r="AH24" s="31">
        <f t="shared" si="16"/>
        <v>0</v>
      </c>
      <c r="AI24" s="70"/>
      <c r="AJ24" s="71">
        <f t="shared" si="17"/>
        <v>0</v>
      </c>
      <c r="AK24" s="26">
        <v>2635.66407</v>
      </c>
      <c r="AL24" s="31">
        <f t="shared" si="18"/>
        <v>1.876852574</v>
      </c>
      <c r="AM24" s="26">
        <v>3037.79029</v>
      </c>
      <c r="AN24" s="31">
        <f t="shared" si="19"/>
        <v>2.163206074</v>
      </c>
      <c r="AO24" s="26">
        <v>1266.3163</v>
      </c>
      <c r="AP24" s="31">
        <f t="shared" si="20"/>
        <v>0.9017420067</v>
      </c>
      <c r="AQ24" s="9"/>
      <c r="AR24" s="9"/>
      <c r="AS24" s="9"/>
      <c r="AT24" s="9"/>
      <c r="AU24" s="9"/>
      <c r="AV24" s="9"/>
      <c r="AW24" s="9"/>
      <c r="AX24" s="9"/>
      <c r="AY24" s="9"/>
      <c r="AZ24" s="9"/>
      <c r="BA24" s="9"/>
      <c r="BB24" s="9"/>
      <c r="BC24" s="9"/>
    </row>
    <row r="25" ht="15.75" customHeight="1">
      <c r="A25" s="25" t="s">
        <v>64</v>
      </c>
      <c r="B25" s="26">
        <v>235590.0180000001</v>
      </c>
      <c r="C25" s="26">
        <v>46686.0</v>
      </c>
      <c r="D25" s="31">
        <f t="shared" si="1"/>
        <v>19.81662907</v>
      </c>
      <c r="E25" s="26">
        <v>350.63</v>
      </c>
      <c r="F25" s="31">
        <f t="shared" si="2"/>
        <v>0.7510388553</v>
      </c>
      <c r="G25" s="26">
        <v>11188.538770000001</v>
      </c>
      <c r="H25" s="31">
        <f t="shared" si="3"/>
        <v>23.96551165</v>
      </c>
      <c r="I25" s="26">
        <v>4422.148279999999</v>
      </c>
      <c r="J25" s="31">
        <f t="shared" si="4"/>
        <v>9.47210787</v>
      </c>
      <c r="K25" s="26">
        <v>1919.4828</v>
      </c>
      <c r="L25" s="31">
        <f t="shared" si="5"/>
        <v>4.111474104</v>
      </c>
      <c r="M25" s="26">
        <v>1919.4828</v>
      </c>
      <c r="N25" s="31">
        <f t="shared" si="6"/>
        <v>4.111474104</v>
      </c>
      <c r="O25" s="26">
        <v>1880.57009</v>
      </c>
      <c r="P25" s="31">
        <f t="shared" si="7"/>
        <v>4.028124256</v>
      </c>
      <c r="Q25" s="26">
        <v>2151.0872</v>
      </c>
      <c r="R25" s="31">
        <f t="shared" si="8"/>
        <v>4.607563724</v>
      </c>
      <c r="S25" s="26">
        <v>0.0</v>
      </c>
      <c r="T25" s="31">
        <f t="shared" si="9"/>
        <v>0</v>
      </c>
      <c r="U25" s="26">
        <v>0.0</v>
      </c>
      <c r="V25" s="31">
        <f t="shared" si="10"/>
        <v>0</v>
      </c>
      <c r="W25" s="26">
        <v>923.97461</v>
      </c>
      <c r="X25" s="31">
        <f t="shared" si="11"/>
        <v>1.979125669</v>
      </c>
      <c r="Y25" s="26">
        <v>2342.03721</v>
      </c>
      <c r="Z25" s="31">
        <f t="shared" si="12"/>
        <v>5.01657287</v>
      </c>
      <c r="AA25" s="26">
        <v>1919.4828</v>
      </c>
      <c r="AB25" s="31">
        <f t="shared" si="13"/>
        <v>4.111474104</v>
      </c>
      <c r="AC25" s="26">
        <v>307.98596</v>
      </c>
      <c r="AD25" s="31">
        <f t="shared" si="14"/>
        <v>0.6596966114</v>
      </c>
      <c r="AE25" s="26">
        <v>0.0</v>
      </c>
      <c r="AF25" s="31">
        <f t="shared" si="15"/>
        <v>0</v>
      </c>
      <c r="AG25" s="26">
        <v>0.0</v>
      </c>
      <c r="AH25" s="31">
        <f t="shared" si="16"/>
        <v>0</v>
      </c>
      <c r="AI25" s="70"/>
      <c r="AJ25" s="71">
        <f t="shared" si="17"/>
        <v>0</v>
      </c>
      <c r="AK25" s="26">
        <v>0.0</v>
      </c>
      <c r="AL25" s="31">
        <f t="shared" si="18"/>
        <v>0</v>
      </c>
      <c r="AM25" s="26">
        <v>0.0</v>
      </c>
      <c r="AN25" s="31">
        <f t="shared" si="19"/>
        <v>0</v>
      </c>
      <c r="AO25" s="26">
        <v>307.98596</v>
      </c>
      <c r="AP25" s="31">
        <f t="shared" si="20"/>
        <v>0.6596966114</v>
      </c>
      <c r="AQ25" s="9"/>
      <c r="AR25" s="9"/>
      <c r="AS25" s="9"/>
      <c r="AT25" s="9"/>
      <c r="AU25" s="9"/>
      <c r="AV25" s="9"/>
      <c r="AW25" s="9"/>
      <c r="AX25" s="9"/>
      <c r="AY25" s="9"/>
      <c r="AZ25" s="9"/>
      <c r="BA25" s="9"/>
      <c r="BB25" s="9"/>
      <c r="BC25" s="9"/>
    </row>
    <row r="26" ht="15.75" customHeight="1">
      <c r="A26" s="25" t="s">
        <v>65</v>
      </c>
      <c r="B26" s="26">
        <v>130981.06396600002</v>
      </c>
      <c r="C26" s="26">
        <v>10666.0</v>
      </c>
      <c r="D26" s="31">
        <f t="shared" si="1"/>
        <v>8.143161826</v>
      </c>
      <c r="E26" s="26">
        <v>0.0</v>
      </c>
      <c r="F26" s="31">
        <f t="shared" si="2"/>
        <v>0</v>
      </c>
      <c r="G26" s="26">
        <v>3067.48102</v>
      </c>
      <c r="H26" s="31">
        <f t="shared" si="3"/>
        <v>28.75943203</v>
      </c>
      <c r="I26" s="26">
        <v>0.0</v>
      </c>
      <c r="J26" s="31">
        <f t="shared" si="4"/>
        <v>0</v>
      </c>
      <c r="K26" s="26">
        <v>0.0</v>
      </c>
      <c r="L26" s="31">
        <f t="shared" si="5"/>
        <v>0</v>
      </c>
      <c r="M26" s="26">
        <v>0.0</v>
      </c>
      <c r="N26" s="31">
        <f t="shared" si="6"/>
        <v>0</v>
      </c>
      <c r="O26" s="26">
        <v>0.0</v>
      </c>
      <c r="P26" s="31">
        <f t="shared" si="7"/>
        <v>0</v>
      </c>
      <c r="Q26" s="26">
        <v>2223.64194</v>
      </c>
      <c r="R26" s="31">
        <f t="shared" si="8"/>
        <v>20.84794618</v>
      </c>
      <c r="S26" s="26">
        <v>0.0</v>
      </c>
      <c r="T26" s="31">
        <f t="shared" si="9"/>
        <v>0</v>
      </c>
      <c r="U26" s="26">
        <v>0.0</v>
      </c>
      <c r="V26" s="31">
        <f t="shared" si="10"/>
        <v>0</v>
      </c>
      <c r="W26" s="26">
        <v>0.0</v>
      </c>
      <c r="X26" s="31">
        <f t="shared" si="11"/>
        <v>0</v>
      </c>
      <c r="Y26" s="26">
        <v>0.0</v>
      </c>
      <c r="Z26" s="31">
        <f t="shared" si="12"/>
        <v>0</v>
      </c>
      <c r="AA26" s="26">
        <v>0.0</v>
      </c>
      <c r="AB26" s="31">
        <f t="shared" si="13"/>
        <v>0</v>
      </c>
      <c r="AC26" s="26">
        <v>0.0</v>
      </c>
      <c r="AD26" s="31">
        <f t="shared" si="14"/>
        <v>0</v>
      </c>
      <c r="AE26" s="26">
        <v>0.0</v>
      </c>
      <c r="AF26" s="31">
        <f t="shared" si="15"/>
        <v>0</v>
      </c>
      <c r="AG26" s="26">
        <v>0.0</v>
      </c>
      <c r="AH26" s="31">
        <f t="shared" si="16"/>
        <v>0</v>
      </c>
      <c r="AI26" s="70"/>
      <c r="AJ26" s="71">
        <f t="shared" si="17"/>
        <v>0</v>
      </c>
      <c r="AK26" s="26">
        <v>0.0</v>
      </c>
      <c r="AL26" s="31">
        <f t="shared" si="18"/>
        <v>0</v>
      </c>
      <c r="AM26" s="26">
        <v>0.0</v>
      </c>
      <c r="AN26" s="31">
        <f t="shared" si="19"/>
        <v>0</v>
      </c>
      <c r="AO26" s="26">
        <v>0.0</v>
      </c>
      <c r="AP26" s="31">
        <f t="shared" si="20"/>
        <v>0</v>
      </c>
      <c r="AQ26" s="9"/>
      <c r="AR26" s="9"/>
      <c r="AS26" s="9"/>
      <c r="AT26" s="9"/>
      <c r="AU26" s="9"/>
      <c r="AV26" s="9"/>
      <c r="AW26" s="9"/>
      <c r="AX26" s="9"/>
      <c r="AY26" s="9"/>
      <c r="AZ26" s="9"/>
      <c r="BA26" s="9"/>
      <c r="BB26" s="9"/>
      <c r="BC26" s="9"/>
    </row>
    <row r="27" ht="15.75" customHeight="1">
      <c r="A27" s="28"/>
      <c r="B27" s="28"/>
      <c r="C27" s="28"/>
      <c r="D27" s="28"/>
      <c r="E27" s="28"/>
      <c r="F27" s="28"/>
      <c r="G27" s="28"/>
      <c r="H27" s="28"/>
      <c r="I27" s="28"/>
      <c r="J27" s="28"/>
      <c r="K27" s="28"/>
      <c r="L27" s="28"/>
      <c r="M27" s="28"/>
      <c r="N27" s="28"/>
      <c r="O27" s="28"/>
      <c r="P27" s="28"/>
      <c r="Q27" s="28"/>
      <c r="R27" s="28"/>
      <c r="S27" s="28"/>
      <c r="T27" s="28"/>
      <c r="U27" s="28"/>
      <c r="V27" s="28"/>
      <c r="W27" s="28"/>
      <c r="X27" s="28"/>
      <c r="Y27" s="28"/>
      <c r="Z27" s="28"/>
      <c r="AA27" s="28"/>
      <c r="AB27" s="28"/>
      <c r="AC27" s="28"/>
      <c r="AD27" s="28"/>
      <c r="AE27" s="28"/>
      <c r="AF27" s="28"/>
      <c r="AG27" s="28"/>
      <c r="AH27" s="28"/>
      <c r="AI27" s="28"/>
      <c r="AJ27" s="28"/>
      <c r="AK27" s="28"/>
      <c r="AL27" s="28"/>
      <c r="AM27" s="28"/>
      <c r="AN27" s="28"/>
      <c r="AO27" s="28"/>
      <c r="AP27" s="28"/>
      <c r="AQ27" s="9"/>
      <c r="AR27" s="9"/>
      <c r="AS27" s="9"/>
      <c r="AT27" s="9"/>
      <c r="AU27" s="9"/>
      <c r="AV27" s="9"/>
      <c r="AW27" s="9"/>
      <c r="AX27" s="9"/>
      <c r="AY27" s="9"/>
      <c r="AZ27" s="9"/>
      <c r="BA27" s="9"/>
      <c r="BB27" s="9"/>
      <c r="BC27" s="9"/>
    </row>
    <row r="28" ht="15.75" customHeight="1">
      <c r="A28" s="8"/>
      <c r="B28" s="9"/>
      <c r="C28" s="9"/>
      <c r="D28" s="9"/>
      <c r="E28" s="9"/>
      <c r="F28" s="9"/>
      <c r="G28" s="9"/>
      <c r="H28" s="9"/>
      <c r="I28" s="9"/>
      <c r="J28" s="9"/>
      <c r="K28" s="9"/>
      <c r="L28" s="9"/>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9"/>
      <c r="AW28" s="9"/>
      <c r="AX28" s="9"/>
      <c r="AY28" s="9"/>
      <c r="AZ28" s="9"/>
      <c r="BA28" s="9"/>
      <c r="BB28" s="9"/>
      <c r="BC28" s="9"/>
    </row>
    <row r="29" ht="15.75" customHeight="1">
      <c r="A29" s="8"/>
      <c r="B29" s="9"/>
      <c r="C29" s="9"/>
      <c r="D29" s="9"/>
      <c r="E29" s="9"/>
      <c r="F29" s="9"/>
      <c r="G29" s="9"/>
      <c r="H29" s="9"/>
      <c r="I29" s="9"/>
      <c r="J29" s="9"/>
      <c r="K29" s="9"/>
      <c r="L29" s="9"/>
      <c r="M29" s="9"/>
      <c r="N29" s="9"/>
      <c r="O29" s="9"/>
      <c r="P29" s="9"/>
      <c r="Q29" s="9"/>
      <c r="R29" s="9"/>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9"/>
      <c r="AW29" s="9"/>
      <c r="AX29" s="9"/>
      <c r="AY29" s="9"/>
      <c r="AZ29" s="9"/>
      <c r="BA29" s="9"/>
      <c r="BB29" s="9"/>
      <c r="BC29" s="9"/>
    </row>
    <row r="30" ht="15.75" customHeight="1">
      <c r="A30" s="10" t="s">
        <v>13</v>
      </c>
      <c r="B30" s="42">
        <v>2024.0</v>
      </c>
      <c r="C30" s="14"/>
      <c r="D30" s="14"/>
      <c r="E30" s="14"/>
      <c r="F30" s="14"/>
      <c r="G30" s="14"/>
      <c r="H30" s="14"/>
      <c r="I30" s="14"/>
      <c r="J30" s="14"/>
      <c r="K30" s="14"/>
      <c r="L30" s="14"/>
      <c r="M30" s="14"/>
      <c r="N30" s="14"/>
      <c r="O30" s="14"/>
      <c r="P30" s="14"/>
      <c r="Q30" s="14"/>
      <c r="R30" s="14"/>
      <c r="S30" s="14"/>
      <c r="T30" s="14"/>
      <c r="U30" s="14"/>
      <c r="V30" s="14"/>
      <c r="W30" s="14"/>
      <c r="X30" s="14"/>
      <c r="Y30" s="14"/>
      <c r="Z30" s="14"/>
      <c r="AA30" s="14"/>
      <c r="AB30" s="14"/>
      <c r="AC30" s="14"/>
      <c r="AD30" s="14"/>
      <c r="AE30" s="14"/>
      <c r="AF30" s="14"/>
      <c r="AG30" s="14"/>
      <c r="AH30" s="14"/>
      <c r="AI30" s="14"/>
      <c r="AJ30" s="14"/>
      <c r="AK30" s="14"/>
      <c r="AL30" s="14"/>
      <c r="AM30" s="14"/>
      <c r="AN30" s="14"/>
      <c r="AO30" s="14"/>
      <c r="AP30" s="15"/>
      <c r="AQ30" s="9"/>
      <c r="AR30" s="9"/>
      <c r="AS30" s="9"/>
      <c r="AT30" s="9"/>
      <c r="AU30" s="9"/>
      <c r="AV30" s="9"/>
      <c r="AW30" s="9"/>
      <c r="AX30" s="9"/>
      <c r="AY30" s="9"/>
      <c r="AZ30" s="9"/>
      <c r="BA30" s="9"/>
      <c r="BB30" s="9"/>
      <c r="BC30" s="9"/>
    </row>
    <row r="31" ht="15.0" customHeight="1">
      <c r="A31" s="17"/>
      <c r="B31" s="48" t="s">
        <v>403</v>
      </c>
      <c r="C31" s="49" t="s">
        <v>404</v>
      </c>
      <c r="D31" s="37"/>
      <c r="E31" s="13" t="s">
        <v>405</v>
      </c>
      <c r="F31" s="14"/>
      <c r="G31" s="14"/>
      <c r="H31" s="14"/>
      <c r="I31" s="14"/>
      <c r="J31" s="14"/>
      <c r="K31" s="14"/>
      <c r="L31" s="14"/>
      <c r="M31" s="14"/>
      <c r="N31" s="14"/>
      <c r="O31" s="14"/>
      <c r="P31" s="14"/>
      <c r="Q31" s="14"/>
      <c r="R31" s="14"/>
      <c r="S31" s="14"/>
      <c r="T31" s="14"/>
      <c r="U31" s="14"/>
      <c r="V31" s="14"/>
      <c r="W31" s="14"/>
      <c r="X31" s="14"/>
      <c r="Y31" s="14"/>
      <c r="Z31" s="14"/>
      <c r="AA31" s="14"/>
      <c r="AB31" s="14"/>
      <c r="AC31" s="14"/>
      <c r="AD31" s="14"/>
      <c r="AE31" s="14"/>
      <c r="AF31" s="14"/>
      <c r="AG31" s="14"/>
      <c r="AH31" s="14"/>
      <c r="AI31" s="14"/>
      <c r="AJ31" s="14"/>
      <c r="AK31" s="14"/>
      <c r="AL31" s="14"/>
      <c r="AM31" s="14"/>
      <c r="AN31" s="14"/>
      <c r="AO31" s="14"/>
      <c r="AP31" s="15"/>
      <c r="AQ31" s="55"/>
      <c r="AR31" s="55"/>
      <c r="AS31" s="55"/>
      <c r="AT31" s="55"/>
      <c r="AU31" s="55"/>
      <c r="AV31" s="55"/>
      <c r="AW31" s="55"/>
      <c r="AX31" s="55"/>
      <c r="AY31" s="55"/>
      <c r="AZ31" s="55"/>
      <c r="BA31" s="55"/>
      <c r="BB31" s="55"/>
      <c r="BC31" s="55"/>
    </row>
    <row r="32" ht="45.0" customHeight="1">
      <c r="A32" s="17"/>
      <c r="B32" s="50"/>
      <c r="C32" s="39"/>
      <c r="D32" s="40"/>
      <c r="E32" s="13" t="s">
        <v>406</v>
      </c>
      <c r="F32" s="15"/>
      <c r="G32" s="13" t="s">
        <v>407</v>
      </c>
      <c r="H32" s="15"/>
      <c r="I32" s="13" t="s">
        <v>408</v>
      </c>
      <c r="J32" s="15"/>
      <c r="K32" s="13" t="s">
        <v>409</v>
      </c>
      <c r="L32" s="15"/>
      <c r="M32" s="13" t="s">
        <v>410</v>
      </c>
      <c r="N32" s="15"/>
      <c r="O32" s="13" t="s">
        <v>411</v>
      </c>
      <c r="P32" s="15"/>
      <c r="Q32" s="13" t="s">
        <v>412</v>
      </c>
      <c r="R32" s="15"/>
      <c r="S32" s="13" t="s">
        <v>413</v>
      </c>
      <c r="T32" s="15"/>
      <c r="U32" s="13" t="s">
        <v>414</v>
      </c>
      <c r="V32" s="15"/>
      <c r="W32" s="13" t="s">
        <v>415</v>
      </c>
      <c r="X32" s="15"/>
      <c r="Y32" s="13" t="s">
        <v>416</v>
      </c>
      <c r="Z32" s="15"/>
      <c r="AA32" s="13" t="s">
        <v>417</v>
      </c>
      <c r="AB32" s="15"/>
      <c r="AC32" s="13" t="s">
        <v>383</v>
      </c>
      <c r="AD32" s="15"/>
      <c r="AE32" s="13" t="s">
        <v>364</v>
      </c>
      <c r="AF32" s="15"/>
      <c r="AG32" s="13" t="s">
        <v>418</v>
      </c>
      <c r="AH32" s="15"/>
      <c r="AI32" s="13" t="s">
        <v>385</v>
      </c>
      <c r="AJ32" s="15"/>
      <c r="AK32" s="13" t="s">
        <v>419</v>
      </c>
      <c r="AL32" s="15"/>
      <c r="AM32" s="13" t="s">
        <v>420</v>
      </c>
      <c r="AN32" s="15"/>
      <c r="AO32" s="13" t="s">
        <v>170</v>
      </c>
      <c r="AP32" s="15"/>
      <c r="AQ32" s="55"/>
      <c r="AR32" s="55"/>
      <c r="AS32" s="55"/>
      <c r="AT32" s="55"/>
      <c r="AU32" s="55"/>
      <c r="AV32" s="55"/>
      <c r="AW32" s="55"/>
      <c r="AX32" s="55"/>
      <c r="AY32" s="55"/>
      <c r="AZ32" s="55"/>
      <c r="BA32" s="55"/>
      <c r="BB32" s="55"/>
      <c r="BC32" s="55"/>
    </row>
    <row r="33" ht="15.75" customHeight="1">
      <c r="A33" s="18"/>
      <c r="B33" s="40"/>
      <c r="C33" s="24" t="s">
        <v>37</v>
      </c>
      <c r="D33" s="24" t="s">
        <v>39</v>
      </c>
      <c r="E33" s="24" t="s">
        <v>37</v>
      </c>
      <c r="F33" s="24" t="s">
        <v>39</v>
      </c>
      <c r="G33" s="24" t="s">
        <v>37</v>
      </c>
      <c r="H33" s="24" t="s">
        <v>39</v>
      </c>
      <c r="I33" s="24" t="s">
        <v>37</v>
      </c>
      <c r="J33" s="24" t="s">
        <v>39</v>
      </c>
      <c r="K33" s="24" t="s">
        <v>37</v>
      </c>
      <c r="L33" s="24" t="s">
        <v>39</v>
      </c>
      <c r="M33" s="24" t="s">
        <v>37</v>
      </c>
      <c r="N33" s="24" t="s">
        <v>39</v>
      </c>
      <c r="O33" s="24" t="s">
        <v>37</v>
      </c>
      <c r="P33" s="24" t="s">
        <v>39</v>
      </c>
      <c r="Q33" s="24" t="s">
        <v>37</v>
      </c>
      <c r="R33" s="24" t="s">
        <v>39</v>
      </c>
      <c r="S33" s="24" t="s">
        <v>37</v>
      </c>
      <c r="T33" s="24" t="s">
        <v>39</v>
      </c>
      <c r="U33" s="24" t="s">
        <v>37</v>
      </c>
      <c r="V33" s="24" t="s">
        <v>39</v>
      </c>
      <c r="W33" s="24" t="s">
        <v>37</v>
      </c>
      <c r="X33" s="24" t="s">
        <v>39</v>
      </c>
      <c r="Y33" s="24" t="s">
        <v>37</v>
      </c>
      <c r="Z33" s="24" t="s">
        <v>39</v>
      </c>
      <c r="AA33" s="24" t="s">
        <v>37</v>
      </c>
      <c r="AB33" s="24" t="s">
        <v>39</v>
      </c>
      <c r="AC33" s="24" t="s">
        <v>37</v>
      </c>
      <c r="AD33" s="24" t="s">
        <v>39</v>
      </c>
      <c r="AE33" s="24" t="s">
        <v>37</v>
      </c>
      <c r="AF33" s="24" t="s">
        <v>39</v>
      </c>
      <c r="AG33" s="24" t="s">
        <v>37</v>
      </c>
      <c r="AH33" s="24" t="s">
        <v>39</v>
      </c>
      <c r="AI33" s="24" t="s">
        <v>37</v>
      </c>
      <c r="AJ33" s="24" t="s">
        <v>39</v>
      </c>
      <c r="AK33" s="24" t="s">
        <v>37</v>
      </c>
      <c r="AL33" s="24" t="s">
        <v>39</v>
      </c>
      <c r="AM33" s="24" t="s">
        <v>37</v>
      </c>
      <c r="AN33" s="24" t="s">
        <v>39</v>
      </c>
      <c r="AO33" s="24" t="s">
        <v>37</v>
      </c>
      <c r="AP33" s="24" t="s">
        <v>39</v>
      </c>
      <c r="AQ33" s="55"/>
      <c r="AR33" s="55"/>
      <c r="AS33" s="55"/>
      <c r="AT33" s="55"/>
      <c r="AU33" s="55"/>
      <c r="AV33" s="55"/>
      <c r="AW33" s="55"/>
      <c r="AX33" s="55"/>
      <c r="AY33" s="55"/>
      <c r="AZ33" s="55"/>
      <c r="BA33" s="55"/>
      <c r="BB33" s="55"/>
      <c r="BC33" s="55"/>
    </row>
    <row r="34" ht="15.75" customHeight="1">
      <c r="A34" s="16"/>
      <c r="B34" s="20"/>
      <c r="C34" s="20"/>
      <c r="D34" s="20"/>
      <c r="E34" s="20"/>
      <c r="F34" s="20"/>
      <c r="G34" s="20"/>
      <c r="H34" s="20"/>
      <c r="I34" s="20"/>
      <c r="J34" s="20"/>
      <c r="K34" s="20"/>
      <c r="L34" s="20"/>
      <c r="M34" s="20"/>
      <c r="N34" s="20"/>
      <c r="O34" s="20"/>
      <c r="P34" s="20"/>
      <c r="Q34" s="20"/>
      <c r="R34" s="20"/>
      <c r="S34" s="20"/>
      <c r="T34" s="20"/>
      <c r="U34" s="20"/>
      <c r="V34" s="20"/>
      <c r="W34" s="20"/>
      <c r="X34" s="20"/>
      <c r="Y34" s="20"/>
      <c r="Z34" s="20"/>
      <c r="AA34" s="20"/>
      <c r="AB34" s="20"/>
      <c r="AC34" s="20"/>
      <c r="AD34" s="20"/>
      <c r="AE34" s="20"/>
      <c r="AF34" s="20"/>
      <c r="AG34" s="20"/>
      <c r="AH34" s="20"/>
      <c r="AI34" s="20"/>
      <c r="AJ34" s="20"/>
      <c r="AK34" s="20"/>
      <c r="AL34" s="20"/>
      <c r="AM34" s="20"/>
      <c r="AN34" s="20"/>
      <c r="AO34" s="20"/>
      <c r="AP34" s="20"/>
      <c r="AQ34" s="56"/>
      <c r="AR34" s="56"/>
      <c r="AS34" s="56"/>
      <c r="AT34" s="56"/>
      <c r="AU34" s="56"/>
      <c r="AV34" s="56"/>
      <c r="AW34" s="56"/>
      <c r="AX34" s="56"/>
      <c r="AY34" s="56"/>
      <c r="AZ34" s="56"/>
      <c r="BA34" s="56"/>
      <c r="BB34" s="56"/>
      <c r="BC34" s="56"/>
    </row>
    <row r="35" ht="15.75" customHeight="1">
      <c r="A35" s="22" t="s">
        <v>33</v>
      </c>
      <c r="B35" s="23">
        <v>6.1457081E7</v>
      </c>
      <c r="C35" s="23">
        <v>2.2569267E7</v>
      </c>
      <c r="D35" s="27">
        <f t="shared" ref="D35:D52" si="21">(C35/$B35)*100</f>
        <v>36.72362343</v>
      </c>
      <c r="E35" s="23">
        <v>757308.0</v>
      </c>
      <c r="F35" s="27">
        <f t="shared" ref="F35:F52" si="22">(E35/$C35)*100</f>
        <v>3.355483366</v>
      </c>
      <c r="G35" s="23">
        <v>1.9305161E7</v>
      </c>
      <c r="H35" s="27">
        <f t="shared" ref="H35:H52" si="23">(G35/$C35)*100</f>
        <v>85.53738586</v>
      </c>
      <c r="I35" s="23">
        <v>1379349.0</v>
      </c>
      <c r="J35" s="27">
        <f t="shared" ref="J35:J52" si="24">(I35/$C35)*100</f>
        <v>6.111625158</v>
      </c>
      <c r="K35" s="23">
        <v>257372.0</v>
      </c>
      <c r="L35" s="27">
        <f t="shared" ref="L35:L52" si="25">(K35/$C35)*100</f>
        <v>1.140364904</v>
      </c>
      <c r="M35" s="23">
        <v>367345.0</v>
      </c>
      <c r="N35" s="27">
        <f t="shared" ref="N35:N52" si="26">(M35/$C35)*100</f>
        <v>1.62763372</v>
      </c>
      <c r="O35" s="23">
        <v>5079464.0</v>
      </c>
      <c r="P35" s="27">
        <f t="shared" ref="P35:P52" si="27">(O35/$C35)*100</f>
        <v>22.50610975</v>
      </c>
      <c r="Q35" s="23">
        <v>8395215.0</v>
      </c>
      <c r="R35" s="27">
        <f t="shared" ref="R35:R52" si="28">(Q35/$C35)*100</f>
        <v>37.19755276</v>
      </c>
      <c r="S35" s="23">
        <v>144815.0</v>
      </c>
      <c r="T35" s="27">
        <f t="shared" ref="T35:T52" si="29">(S35/$C35)*100</f>
        <v>0.6416468909</v>
      </c>
      <c r="U35" s="23">
        <v>305903.0</v>
      </c>
      <c r="V35" s="27">
        <f t="shared" ref="V35:V52" si="30">(U35/$C35)*100</f>
        <v>1.355396256</v>
      </c>
      <c r="W35" s="23">
        <v>3999503.0</v>
      </c>
      <c r="X35" s="27">
        <f t="shared" ref="X35:X52" si="31">(W35/$C35)*100</f>
        <v>17.72101416</v>
      </c>
      <c r="Y35" s="23">
        <v>5150845.0</v>
      </c>
      <c r="Z35" s="27">
        <f t="shared" ref="Z35:Z52" si="32">(Y35/$C35)*100</f>
        <v>22.82238497</v>
      </c>
      <c r="AA35" s="23">
        <v>449282.0</v>
      </c>
      <c r="AB35" s="27">
        <f t="shared" ref="AB35:AB52" si="33">(AA35/$C35)*100</f>
        <v>1.990680513</v>
      </c>
      <c r="AC35" s="23">
        <v>605305.0</v>
      </c>
      <c r="AD35" s="27">
        <f t="shared" ref="AD35:AD52" si="34">(AC35/$C35)*100</f>
        <v>2.681987855</v>
      </c>
      <c r="AE35" s="23">
        <v>257331.0</v>
      </c>
      <c r="AF35" s="27">
        <f t="shared" ref="AF35:AF52" si="35">(AE35/$C35)*100</f>
        <v>1.140183241</v>
      </c>
      <c r="AG35" s="23">
        <v>447282.0</v>
      </c>
      <c r="AH35" s="27">
        <f t="shared" ref="AH35:AH52" si="36">(AG35/$C35)*100</f>
        <v>1.981818904</v>
      </c>
      <c r="AI35" s="23">
        <v>697280.0</v>
      </c>
      <c r="AJ35" s="27">
        <f t="shared" ref="AJ35:AJ52" si="37">(AI35/$C35)*100</f>
        <v>3.089511059</v>
      </c>
      <c r="AK35" s="23">
        <v>394231.0</v>
      </c>
      <c r="AL35" s="27">
        <f t="shared" ref="AL35:AL52" si="38">(AK35/$C35)*100</f>
        <v>1.746760318</v>
      </c>
      <c r="AM35" s="23">
        <v>584163.0</v>
      </c>
      <c r="AN35" s="27">
        <f t="shared" ref="AN35:AN52" si="39">(AM35/$C35)*100</f>
        <v>2.588311796</v>
      </c>
      <c r="AO35" s="23">
        <v>1257710.0</v>
      </c>
      <c r="AP35" s="27">
        <f t="shared" ref="AP35:AP52" si="40">(AO35/$C35)*100</f>
        <v>5.572666582</v>
      </c>
      <c r="AQ35" s="57"/>
      <c r="AR35" s="57"/>
      <c r="AS35" s="57"/>
      <c r="AT35" s="57"/>
      <c r="AU35" s="57"/>
      <c r="AV35" s="57"/>
      <c r="AW35" s="57"/>
      <c r="AX35" s="57"/>
      <c r="AY35" s="57"/>
      <c r="AZ35" s="57"/>
      <c r="BA35" s="57"/>
      <c r="BB35" s="57"/>
      <c r="BC35" s="57"/>
    </row>
    <row r="36" ht="15.75" customHeight="1">
      <c r="A36" s="25" t="s">
        <v>38</v>
      </c>
      <c r="B36" s="26">
        <v>9448296.0</v>
      </c>
      <c r="C36" s="26">
        <v>4037772.0</v>
      </c>
      <c r="D36" s="31">
        <f t="shared" si="21"/>
        <v>42.73545198</v>
      </c>
      <c r="E36" s="26">
        <v>144747.0</v>
      </c>
      <c r="F36" s="31">
        <f t="shared" si="22"/>
        <v>3.584823512</v>
      </c>
      <c r="G36" s="26">
        <v>3283272.0</v>
      </c>
      <c r="H36" s="31">
        <f t="shared" si="23"/>
        <v>81.31395235</v>
      </c>
      <c r="I36" s="26">
        <v>291793.0</v>
      </c>
      <c r="J36" s="31">
        <f t="shared" si="24"/>
        <v>7.226584364</v>
      </c>
      <c r="K36" s="26">
        <v>72745.0</v>
      </c>
      <c r="L36" s="31">
        <f t="shared" si="25"/>
        <v>1.801612374</v>
      </c>
      <c r="M36" s="26">
        <v>96995.0</v>
      </c>
      <c r="N36" s="31">
        <f t="shared" si="26"/>
        <v>2.402191109</v>
      </c>
      <c r="O36" s="26">
        <v>1055343.0</v>
      </c>
      <c r="P36" s="31">
        <f t="shared" si="27"/>
        <v>26.13676552</v>
      </c>
      <c r="Q36" s="26">
        <v>1601195.0</v>
      </c>
      <c r="R36" s="31">
        <f t="shared" si="28"/>
        <v>39.65540897</v>
      </c>
      <c r="S36" s="26">
        <v>29559.0</v>
      </c>
      <c r="T36" s="31">
        <f t="shared" si="29"/>
        <v>0.7320621372</v>
      </c>
      <c r="U36" s="26">
        <v>74508.0</v>
      </c>
      <c r="V36" s="31">
        <f t="shared" si="30"/>
        <v>1.845275068</v>
      </c>
      <c r="W36" s="26">
        <v>1196067.0</v>
      </c>
      <c r="X36" s="31">
        <f t="shared" si="31"/>
        <v>29.62195488</v>
      </c>
      <c r="Y36" s="26">
        <v>1225981.0</v>
      </c>
      <c r="Z36" s="31">
        <f t="shared" si="32"/>
        <v>30.36280899</v>
      </c>
      <c r="AA36" s="26">
        <v>105811.0</v>
      </c>
      <c r="AB36" s="31">
        <f t="shared" si="33"/>
        <v>2.620529341</v>
      </c>
      <c r="AC36" s="26">
        <v>180850.0</v>
      </c>
      <c r="AD36" s="31">
        <f t="shared" si="34"/>
        <v>4.478955226</v>
      </c>
      <c r="AE36" s="26">
        <v>51208.0</v>
      </c>
      <c r="AF36" s="31">
        <f t="shared" si="35"/>
        <v>1.268224159</v>
      </c>
      <c r="AG36" s="26">
        <v>89240.0</v>
      </c>
      <c r="AH36" s="31">
        <f t="shared" si="36"/>
        <v>2.210129745</v>
      </c>
      <c r="AI36" s="26">
        <v>148891.0</v>
      </c>
      <c r="AJ36" s="31">
        <f t="shared" si="37"/>
        <v>3.687454368</v>
      </c>
      <c r="AK36" s="26">
        <v>151161.0</v>
      </c>
      <c r="AL36" s="31">
        <f t="shared" si="38"/>
        <v>3.743673491</v>
      </c>
      <c r="AM36" s="26">
        <v>187574.0</v>
      </c>
      <c r="AN36" s="31">
        <f t="shared" si="39"/>
        <v>4.645482707</v>
      </c>
      <c r="AO36" s="26">
        <v>248056.0</v>
      </c>
      <c r="AP36" s="31">
        <f t="shared" si="40"/>
        <v>6.143387987</v>
      </c>
      <c r="AQ36" s="58"/>
      <c r="AR36" s="58"/>
      <c r="AS36" s="58"/>
      <c r="AT36" s="58"/>
      <c r="AU36" s="58"/>
      <c r="AV36" s="58"/>
      <c r="AW36" s="58"/>
      <c r="AX36" s="58"/>
      <c r="AY36" s="58"/>
      <c r="AZ36" s="58"/>
      <c r="BA36" s="58"/>
      <c r="BB36" s="58"/>
      <c r="BC36" s="58"/>
    </row>
    <row r="37" ht="15.75" customHeight="1">
      <c r="A37" s="25" t="s">
        <v>41</v>
      </c>
      <c r="B37" s="26">
        <v>1074349.0</v>
      </c>
      <c r="C37" s="26">
        <v>328975.0</v>
      </c>
      <c r="D37" s="31">
        <f t="shared" si="21"/>
        <v>30.62086901</v>
      </c>
      <c r="E37" s="26">
        <v>22908.0</v>
      </c>
      <c r="F37" s="31">
        <f t="shared" si="22"/>
        <v>6.96344707</v>
      </c>
      <c r="G37" s="26">
        <v>301738.0</v>
      </c>
      <c r="H37" s="31">
        <f t="shared" si="23"/>
        <v>91.72064747</v>
      </c>
      <c r="I37" s="26">
        <v>25428.0</v>
      </c>
      <c r="J37" s="31">
        <f t="shared" si="24"/>
        <v>7.729462725</v>
      </c>
      <c r="K37" s="26">
        <v>2836.0</v>
      </c>
      <c r="L37" s="31">
        <f t="shared" si="25"/>
        <v>0.862071586</v>
      </c>
      <c r="M37" s="26">
        <v>9799.0</v>
      </c>
      <c r="N37" s="31">
        <f t="shared" si="26"/>
        <v>2.978645794</v>
      </c>
      <c r="O37" s="26">
        <v>72952.0</v>
      </c>
      <c r="P37" s="31">
        <f t="shared" si="27"/>
        <v>22.17554525</v>
      </c>
      <c r="Q37" s="26">
        <v>126572.0</v>
      </c>
      <c r="R37" s="31">
        <f t="shared" si="28"/>
        <v>38.47465613</v>
      </c>
      <c r="S37" s="26">
        <v>1970.0</v>
      </c>
      <c r="T37" s="31">
        <f t="shared" si="29"/>
        <v>0.5988296983</v>
      </c>
      <c r="U37" s="26">
        <v>3192.0</v>
      </c>
      <c r="V37" s="31">
        <f t="shared" si="30"/>
        <v>0.9702864959</v>
      </c>
      <c r="W37" s="26">
        <v>63588.0</v>
      </c>
      <c r="X37" s="31">
        <f t="shared" si="31"/>
        <v>19.32912835</v>
      </c>
      <c r="Y37" s="26">
        <v>71341.0</v>
      </c>
      <c r="Z37" s="31">
        <f t="shared" si="32"/>
        <v>21.68584239</v>
      </c>
      <c r="AA37" s="26">
        <v>9456.0</v>
      </c>
      <c r="AB37" s="31">
        <f t="shared" si="33"/>
        <v>2.874382552</v>
      </c>
      <c r="AC37" s="26">
        <v>11566.0</v>
      </c>
      <c r="AD37" s="31">
        <f t="shared" si="34"/>
        <v>3.515768675</v>
      </c>
      <c r="AE37" s="26">
        <v>3400.0</v>
      </c>
      <c r="AF37" s="31">
        <f t="shared" si="35"/>
        <v>1.033513185</v>
      </c>
      <c r="AG37" s="26">
        <v>16217.0</v>
      </c>
      <c r="AH37" s="31">
        <f t="shared" si="36"/>
        <v>4.929553917</v>
      </c>
      <c r="AI37" s="26">
        <v>16267.0</v>
      </c>
      <c r="AJ37" s="31">
        <f t="shared" si="37"/>
        <v>4.944752641</v>
      </c>
      <c r="AK37" s="26">
        <v>3853.0</v>
      </c>
      <c r="AL37" s="31">
        <f t="shared" si="38"/>
        <v>1.171213618</v>
      </c>
      <c r="AM37" s="26">
        <v>6831.0</v>
      </c>
      <c r="AN37" s="31">
        <f t="shared" si="39"/>
        <v>2.076449578</v>
      </c>
      <c r="AO37" s="26">
        <v>22984.0</v>
      </c>
      <c r="AP37" s="31">
        <f t="shared" si="40"/>
        <v>6.98654913</v>
      </c>
      <c r="AQ37" s="58"/>
      <c r="AR37" s="58"/>
      <c r="AS37" s="58"/>
      <c r="AT37" s="58"/>
      <c r="AU37" s="58"/>
      <c r="AV37" s="58"/>
      <c r="AW37" s="58"/>
      <c r="AX37" s="58"/>
      <c r="AY37" s="58"/>
      <c r="AZ37" s="58"/>
      <c r="BA37" s="58"/>
      <c r="BB37" s="58"/>
      <c r="BC37" s="58"/>
    </row>
    <row r="38" ht="15.75" customHeight="1">
      <c r="A38" s="25" t="s">
        <v>43</v>
      </c>
      <c r="B38" s="26">
        <v>3260630.0</v>
      </c>
      <c r="C38" s="26">
        <v>1189891.0</v>
      </c>
      <c r="D38" s="31">
        <f t="shared" si="21"/>
        <v>36.49267166</v>
      </c>
      <c r="E38" s="26">
        <v>39399.0</v>
      </c>
      <c r="F38" s="31">
        <f t="shared" si="22"/>
        <v>3.311143626</v>
      </c>
      <c r="G38" s="26">
        <v>1098192.0</v>
      </c>
      <c r="H38" s="31">
        <f t="shared" si="23"/>
        <v>92.29349579</v>
      </c>
      <c r="I38" s="26">
        <v>60932.0</v>
      </c>
      <c r="J38" s="31">
        <f t="shared" si="24"/>
        <v>5.120805183</v>
      </c>
      <c r="K38" s="26">
        <v>0.0</v>
      </c>
      <c r="L38" s="31">
        <f t="shared" si="25"/>
        <v>0</v>
      </c>
      <c r="M38" s="26">
        <v>16865.0</v>
      </c>
      <c r="N38" s="31">
        <f t="shared" si="26"/>
        <v>1.417356716</v>
      </c>
      <c r="O38" s="26">
        <v>197404.0</v>
      </c>
      <c r="P38" s="31">
        <f t="shared" si="27"/>
        <v>16.59009103</v>
      </c>
      <c r="Q38" s="26">
        <v>452991.0</v>
      </c>
      <c r="R38" s="31">
        <f t="shared" si="28"/>
        <v>38.06995767</v>
      </c>
      <c r="S38" s="26">
        <v>2000.0</v>
      </c>
      <c r="T38" s="31">
        <f t="shared" si="29"/>
        <v>0.1680826227</v>
      </c>
      <c r="U38" s="26">
        <v>13775.0</v>
      </c>
      <c r="V38" s="31">
        <f t="shared" si="30"/>
        <v>1.157669064</v>
      </c>
      <c r="W38" s="26">
        <v>184657.0</v>
      </c>
      <c r="X38" s="31">
        <f t="shared" si="31"/>
        <v>15.51881643</v>
      </c>
      <c r="Y38" s="26">
        <v>120000.0</v>
      </c>
      <c r="Z38" s="31">
        <f t="shared" si="32"/>
        <v>10.08495736</v>
      </c>
      <c r="AA38" s="26">
        <v>17237.0</v>
      </c>
      <c r="AB38" s="31">
        <f t="shared" si="33"/>
        <v>1.448620084</v>
      </c>
      <c r="AC38" s="26">
        <v>6812.0</v>
      </c>
      <c r="AD38" s="31">
        <f t="shared" si="34"/>
        <v>0.5724894129</v>
      </c>
      <c r="AE38" s="26">
        <v>10560.0</v>
      </c>
      <c r="AF38" s="31">
        <f t="shared" si="35"/>
        <v>0.8874762478</v>
      </c>
      <c r="AG38" s="26">
        <v>30692.0</v>
      </c>
      <c r="AH38" s="31">
        <f t="shared" si="36"/>
        <v>2.579395928</v>
      </c>
      <c r="AI38" s="26">
        <v>32335.0</v>
      </c>
      <c r="AJ38" s="31">
        <f t="shared" si="37"/>
        <v>2.717475802</v>
      </c>
      <c r="AK38" s="26">
        <v>8016.0</v>
      </c>
      <c r="AL38" s="31">
        <f t="shared" si="38"/>
        <v>0.6736751518</v>
      </c>
      <c r="AM38" s="26">
        <v>14637.0</v>
      </c>
      <c r="AN38" s="31">
        <f t="shared" si="39"/>
        <v>1.230112674</v>
      </c>
      <c r="AO38" s="26">
        <v>18775.0</v>
      </c>
      <c r="AP38" s="31">
        <f t="shared" si="40"/>
        <v>1.577875621</v>
      </c>
      <c r="AQ38" s="58"/>
      <c r="AR38" s="58"/>
      <c r="AS38" s="58"/>
      <c r="AT38" s="58"/>
      <c r="AU38" s="58"/>
      <c r="AV38" s="58"/>
      <c r="AW38" s="58"/>
      <c r="AX38" s="58"/>
      <c r="AY38" s="58"/>
      <c r="AZ38" s="58"/>
      <c r="BA38" s="58"/>
      <c r="BB38" s="58"/>
      <c r="BC38" s="58"/>
    </row>
    <row r="39" ht="15.75" customHeight="1">
      <c r="A39" s="25" t="s">
        <v>44</v>
      </c>
      <c r="B39" s="26">
        <v>2290016.0</v>
      </c>
      <c r="C39" s="26">
        <v>791574.0</v>
      </c>
      <c r="D39" s="31">
        <f t="shared" si="21"/>
        <v>34.56630871</v>
      </c>
      <c r="E39" s="26">
        <v>15348.0</v>
      </c>
      <c r="F39" s="31">
        <f t="shared" si="22"/>
        <v>1.938921693</v>
      </c>
      <c r="G39" s="26">
        <v>676735.0</v>
      </c>
      <c r="H39" s="31">
        <f t="shared" si="23"/>
        <v>85.49232289</v>
      </c>
      <c r="I39" s="26">
        <v>26142.0</v>
      </c>
      <c r="J39" s="31">
        <f t="shared" si="24"/>
        <v>3.302533939</v>
      </c>
      <c r="K39" s="26">
        <v>9105.0</v>
      </c>
      <c r="L39" s="31">
        <f t="shared" si="25"/>
        <v>1.150239902</v>
      </c>
      <c r="M39" s="26">
        <v>11131.0</v>
      </c>
      <c r="N39" s="31">
        <f t="shared" si="26"/>
        <v>1.40618565</v>
      </c>
      <c r="O39" s="26">
        <v>115567.0</v>
      </c>
      <c r="P39" s="31">
        <f t="shared" si="27"/>
        <v>14.59964577</v>
      </c>
      <c r="Q39" s="26">
        <v>203573.0</v>
      </c>
      <c r="R39" s="31">
        <f t="shared" si="28"/>
        <v>25.71749451</v>
      </c>
      <c r="S39" s="26">
        <v>1339.0</v>
      </c>
      <c r="T39" s="31">
        <f t="shared" si="29"/>
        <v>0.1691566423</v>
      </c>
      <c r="U39" s="26">
        <v>16599.0</v>
      </c>
      <c r="V39" s="31">
        <f t="shared" si="30"/>
        <v>2.096961244</v>
      </c>
      <c r="W39" s="26">
        <v>76050.0</v>
      </c>
      <c r="X39" s="31">
        <f t="shared" si="31"/>
        <v>9.607440366</v>
      </c>
      <c r="Y39" s="26">
        <v>94196.0</v>
      </c>
      <c r="Z39" s="31">
        <f t="shared" si="32"/>
        <v>11.89983501</v>
      </c>
      <c r="AA39" s="26">
        <v>25842.0</v>
      </c>
      <c r="AB39" s="31">
        <f t="shared" si="33"/>
        <v>3.264634766</v>
      </c>
      <c r="AC39" s="26">
        <v>20003.0</v>
      </c>
      <c r="AD39" s="31">
        <f t="shared" si="34"/>
        <v>2.526990528</v>
      </c>
      <c r="AE39" s="26">
        <v>4293.0</v>
      </c>
      <c r="AF39" s="31">
        <f t="shared" si="35"/>
        <v>0.5423371662</v>
      </c>
      <c r="AG39" s="26">
        <v>12762.0</v>
      </c>
      <c r="AH39" s="31">
        <f t="shared" si="36"/>
        <v>1.612230821</v>
      </c>
      <c r="AI39" s="26">
        <v>17815.0</v>
      </c>
      <c r="AJ39" s="31">
        <f t="shared" si="37"/>
        <v>2.250579226</v>
      </c>
      <c r="AK39" s="26">
        <v>9572.0</v>
      </c>
      <c r="AL39" s="31">
        <f t="shared" si="38"/>
        <v>1.209236281</v>
      </c>
      <c r="AM39" s="26">
        <v>21552.0</v>
      </c>
      <c r="AN39" s="31">
        <f t="shared" si="39"/>
        <v>2.722676591</v>
      </c>
      <c r="AO39" s="26">
        <v>113573.0</v>
      </c>
      <c r="AP39" s="31">
        <f t="shared" si="40"/>
        <v>14.3477426</v>
      </c>
      <c r="AQ39" s="58"/>
      <c r="AR39" s="58"/>
      <c r="AS39" s="58"/>
      <c r="AT39" s="58"/>
      <c r="AU39" s="58"/>
      <c r="AV39" s="58"/>
      <c r="AW39" s="58"/>
      <c r="AX39" s="58"/>
      <c r="AY39" s="58"/>
      <c r="AZ39" s="58"/>
      <c r="BA39" s="58"/>
      <c r="BB39" s="58"/>
      <c r="BC39" s="58"/>
    </row>
    <row r="40" ht="15.75" customHeight="1">
      <c r="A40" s="25" t="s">
        <v>46</v>
      </c>
      <c r="B40" s="26">
        <v>7926396.0</v>
      </c>
      <c r="C40" s="26">
        <v>3838538.0</v>
      </c>
      <c r="D40" s="31">
        <f t="shared" si="21"/>
        <v>48.42728019</v>
      </c>
      <c r="E40" s="26">
        <v>138826.0</v>
      </c>
      <c r="F40" s="31">
        <f t="shared" si="22"/>
        <v>3.616637376</v>
      </c>
      <c r="G40" s="26">
        <v>3315810.0</v>
      </c>
      <c r="H40" s="31">
        <f t="shared" si="23"/>
        <v>86.38210694</v>
      </c>
      <c r="I40" s="26">
        <v>191442.0</v>
      </c>
      <c r="J40" s="31">
        <f t="shared" si="24"/>
        <v>4.987367586</v>
      </c>
      <c r="K40" s="26">
        <v>35160.0</v>
      </c>
      <c r="L40" s="31">
        <f t="shared" si="25"/>
        <v>0.9159737379</v>
      </c>
      <c r="M40" s="26">
        <v>51138.0</v>
      </c>
      <c r="N40" s="31">
        <f t="shared" si="26"/>
        <v>1.332225967</v>
      </c>
      <c r="O40" s="26">
        <v>1120049.0</v>
      </c>
      <c r="P40" s="31">
        <f t="shared" si="27"/>
        <v>29.17905202</v>
      </c>
      <c r="Q40" s="26">
        <v>1752389.0</v>
      </c>
      <c r="R40" s="31">
        <f t="shared" si="28"/>
        <v>45.65251145</v>
      </c>
      <c r="S40" s="26">
        <v>19036.0</v>
      </c>
      <c r="T40" s="31">
        <f t="shared" si="29"/>
        <v>0.4959179771</v>
      </c>
      <c r="U40" s="26">
        <v>69179.0</v>
      </c>
      <c r="V40" s="31">
        <f t="shared" si="30"/>
        <v>1.802222617</v>
      </c>
      <c r="W40" s="26">
        <v>882570.0</v>
      </c>
      <c r="X40" s="31">
        <f t="shared" si="31"/>
        <v>22.99234761</v>
      </c>
      <c r="Y40" s="26">
        <v>988342.0</v>
      </c>
      <c r="Z40" s="31">
        <f t="shared" si="32"/>
        <v>25.74787588</v>
      </c>
      <c r="AA40" s="26">
        <v>60563.0</v>
      </c>
      <c r="AB40" s="31">
        <f t="shared" si="33"/>
        <v>1.577762158</v>
      </c>
      <c r="AC40" s="26">
        <v>115045.0</v>
      </c>
      <c r="AD40" s="31">
        <f t="shared" si="34"/>
        <v>2.997104627</v>
      </c>
      <c r="AE40" s="26">
        <v>25008.0</v>
      </c>
      <c r="AF40" s="31">
        <f t="shared" si="35"/>
        <v>0.6514980443</v>
      </c>
      <c r="AG40" s="26">
        <v>66669.0</v>
      </c>
      <c r="AH40" s="31">
        <f t="shared" si="36"/>
        <v>1.736833138</v>
      </c>
      <c r="AI40" s="26">
        <v>72990.0</v>
      </c>
      <c r="AJ40" s="31">
        <f t="shared" si="37"/>
        <v>1.901505208</v>
      </c>
      <c r="AK40" s="26">
        <v>46277.0</v>
      </c>
      <c r="AL40" s="31">
        <f t="shared" si="38"/>
        <v>1.205589211</v>
      </c>
      <c r="AM40" s="26">
        <v>29715.0</v>
      </c>
      <c r="AN40" s="31">
        <f t="shared" si="39"/>
        <v>0.7741228561</v>
      </c>
      <c r="AO40" s="26">
        <v>228170.0</v>
      </c>
      <c r="AP40" s="31">
        <f t="shared" si="40"/>
        <v>5.94419021</v>
      </c>
      <c r="AQ40" s="58"/>
      <c r="AR40" s="58"/>
      <c r="AS40" s="58"/>
      <c r="AT40" s="58"/>
      <c r="AU40" s="58"/>
      <c r="AV40" s="58"/>
      <c r="AW40" s="58"/>
      <c r="AX40" s="58"/>
      <c r="AY40" s="58"/>
      <c r="AZ40" s="58"/>
      <c r="BA40" s="58"/>
      <c r="BB40" s="58"/>
      <c r="BC40" s="58"/>
    </row>
    <row r="41" ht="15.75" customHeight="1">
      <c r="A41" s="25" t="s">
        <v>48</v>
      </c>
      <c r="B41" s="26">
        <v>9979157.0</v>
      </c>
      <c r="C41" s="26">
        <v>4019366.0</v>
      </c>
      <c r="D41" s="31">
        <f t="shared" si="21"/>
        <v>40.27761062</v>
      </c>
      <c r="E41" s="26">
        <v>146434.0</v>
      </c>
      <c r="F41" s="31">
        <f t="shared" si="22"/>
        <v>3.643211392</v>
      </c>
      <c r="G41" s="26">
        <v>3431458.0</v>
      </c>
      <c r="H41" s="31">
        <f t="shared" si="23"/>
        <v>85.37311606</v>
      </c>
      <c r="I41" s="26">
        <v>280300.0</v>
      </c>
      <c r="J41" s="31">
        <f t="shared" si="24"/>
        <v>6.973736654</v>
      </c>
      <c r="K41" s="26">
        <v>30778.0</v>
      </c>
      <c r="L41" s="31">
        <f t="shared" si="25"/>
        <v>0.7657426569</v>
      </c>
      <c r="M41" s="26">
        <v>29704.0</v>
      </c>
      <c r="N41" s="31">
        <f t="shared" si="26"/>
        <v>0.7390220249</v>
      </c>
      <c r="O41" s="26">
        <v>992426.0</v>
      </c>
      <c r="P41" s="31">
        <f t="shared" si="27"/>
        <v>24.691108</v>
      </c>
      <c r="Q41" s="26">
        <v>1654664.0</v>
      </c>
      <c r="R41" s="31">
        <f t="shared" si="28"/>
        <v>41.16728857</v>
      </c>
      <c r="S41" s="26">
        <v>36648.0</v>
      </c>
      <c r="T41" s="31">
        <f t="shared" si="29"/>
        <v>0.9117855901</v>
      </c>
      <c r="U41" s="26">
        <v>11863.0</v>
      </c>
      <c r="V41" s="31">
        <f t="shared" si="30"/>
        <v>0.2951460504</v>
      </c>
      <c r="W41" s="26">
        <v>752822.0</v>
      </c>
      <c r="X41" s="31">
        <f t="shared" si="31"/>
        <v>18.72986934</v>
      </c>
      <c r="Y41" s="26">
        <v>1194644.0</v>
      </c>
      <c r="Z41" s="31">
        <f t="shared" si="32"/>
        <v>29.72219997</v>
      </c>
      <c r="AA41" s="26">
        <v>73034.0</v>
      </c>
      <c r="AB41" s="31">
        <f t="shared" si="33"/>
        <v>1.817052739</v>
      </c>
      <c r="AC41" s="26">
        <v>103894.0</v>
      </c>
      <c r="AD41" s="31">
        <f t="shared" si="34"/>
        <v>2.584835519</v>
      </c>
      <c r="AE41" s="26">
        <v>72649.0</v>
      </c>
      <c r="AF41" s="31">
        <f t="shared" si="35"/>
        <v>1.807474114</v>
      </c>
      <c r="AG41" s="26">
        <v>92906.0</v>
      </c>
      <c r="AH41" s="31">
        <f t="shared" si="36"/>
        <v>2.311459071</v>
      </c>
      <c r="AI41" s="26">
        <v>203830.0</v>
      </c>
      <c r="AJ41" s="31">
        <f t="shared" si="37"/>
        <v>5.071197796</v>
      </c>
      <c r="AK41" s="26">
        <v>19419.0</v>
      </c>
      <c r="AL41" s="31">
        <f t="shared" si="38"/>
        <v>0.4831358976</v>
      </c>
      <c r="AM41" s="26">
        <v>106590.0</v>
      </c>
      <c r="AN41" s="31">
        <f t="shared" si="39"/>
        <v>2.651910774</v>
      </c>
      <c r="AO41" s="26">
        <v>212830.0</v>
      </c>
      <c r="AP41" s="31">
        <f t="shared" si="40"/>
        <v>5.295113707</v>
      </c>
      <c r="AQ41" s="58"/>
      <c r="AR41" s="58"/>
      <c r="AS41" s="58"/>
      <c r="AT41" s="58"/>
      <c r="AU41" s="58"/>
      <c r="AV41" s="58"/>
      <c r="AW41" s="58"/>
      <c r="AX41" s="58"/>
      <c r="AY41" s="58"/>
      <c r="AZ41" s="58"/>
      <c r="BA41" s="58"/>
      <c r="BB41" s="58"/>
      <c r="BC41" s="58"/>
    </row>
    <row r="42" ht="15.75" customHeight="1">
      <c r="A42" s="25" t="s">
        <v>50</v>
      </c>
      <c r="B42" s="26">
        <v>1614249.0</v>
      </c>
      <c r="C42" s="26">
        <v>629725.0</v>
      </c>
      <c r="D42" s="31">
        <f t="shared" si="21"/>
        <v>39.0104005</v>
      </c>
      <c r="E42" s="26">
        <v>42405.0</v>
      </c>
      <c r="F42" s="31">
        <f t="shared" si="22"/>
        <v>6.733891778</v>
      </c>
      <c r="G42" s="26">
        <v>542776.0</v>
      </c>
      <c r="H42" s="31">
        <f t="shared" si="23"/>
        <v>86.19254436</v>
      </c>
      <c r="I42" s="26">
        <v>25133.0</v>
      </c>
      <c r="J42" s="31">
        <f t="shared" si="24"/>
        <v>3.991107229</v>
      </c>
      <c r="K42" s="26">
        <v>3077.0</v>
      </c>
      <c r="L42" s="31">
        <f t="shared" si="25"/>
        <v>0.4886259875</v>
      </c>
      <c r="M42" s="26">
        <v>15388.0</v>
      </c>
      <c r="N42" s="31">
        <f t="shared" si="26"/>
        <v>2.443606336</v>
      </c>
      <c r="O42" s="26">
        <v>132120.0</v>
      </c>
      <c r="P42" s="31">
        <f t="shared" si="27"/>
        <v>20.98058676</v>
      </c>
      <c r="Q42" s="26">
        <v>212049.0</v>
      </c>
      <c r="R42" s="31">
        <f t="shared" si="28"/>
        <v>33.67327008</v>
      </c>
      <c r="S42" s="26">
        <v>2621.0</v>
      </c>
      <c r="T42" s="31">
        <f t="shared" si="29"/>
        <v>0.4162134265</v>
      </c>
      <c r="U42" s="26">
        <v>11736.0</v>
      </c>
      <c r="V42" s="31">
        <f t="shared" si="30"/>
        <v>1.86367065</v>
      </c>
      <c r="W42" s="26">
        <v>32102.0</v>
      </c>
      <c r="X42" s="31">
        <f t="shared" si="31"/>
        <v>5.097780777</v>
      </c>
      <c r="Y42" s="26">
        <v>158473.0</v>
      </c>
      <c r="Z42" s="31">
        <f t="shared" si="32"/>
        <v>25.16542935</v>
      </c>
      <c r="AA42" s="26">
        <v>4407.0</v>
      </c>
      <c r="AB42" s="31">
        <f t="shared" si="33"/>
        <v>0.6998292906</v>
      </c>
      <c r="AC42" s="26">
        <v>11512.0</v>
      </c>
      <c r="AD42" s="31">
        <f t="shared" si="34"/>
        <v>1.828099567</v>
      </c>
      <c r="AE42" s="26">
        <v>5914.0</v>
      </c>
      <c r="AF42" s="31">
        <f t="shared" si="35"/>
        <v>0.9391401008</v>
      </c>
      <c r="AG42" s="26">
        <v>7349.0</v>
      </c>
      <c r="AH42" s="31">
        <f t="shared" si="36"/>
        <v>1.167017349</v>
      </c>
      <c r="AI42" s="26">
        <v>12277.0</v>
      </c>
      <c r="AJ42" s="31">
        <f t="shared" si="37"/>
        <v>1.949581166</v>
      </c>
      <c r="AK42" s="26">
        <v>7411.0</v>
      </c>
      <c r="AL42" s="31">
        <f t="shared" si="38"/>
        <v>1.176862916</v>
      </c>
      <c r="AM42" s="26">
        <v>12131.0</v>
      </c>
      <c r="AN42" s="31">
        <f t="shared" si="39"/>
        <v>1.926396443</v>
      </c>
      <c r="AO42" s="26">
        <v>50569.0</v>
      </c>
      <c r="AP42" s="31">
        <f t="shared" si="40"/>
        <v>8.0303307</v>
      </c>
      <c r="AQ42" s="58"/>
      <c r="AR42" s="58"/>
      <c r="AS42" s="58"/>
      <c r="AT42" s="58"/>
      <c r="AU42" s="58"/>
      <c r="AV42" s="58"/>
      <c r="AW42" s="58"/>
      <c r="AX42" s="58"/>
      <c r="AY42" s="58"/>
      <c r="AZ42" s="58"/>
      <c r="BA42" s="58"/>
      <c r="BB42" s="58"/>
      <c r="BC42" s="58"/>
    </row>
    <row r="43" ht="15.75" customHeight="1">
      <c r="A43" s="25" t="s">
        <v>51</v>
      </c>
      <c r="B43" s="26">
        <v>3094742.0</v>
      </c>
      <c r="C43" s="26">
        <v>1381518.0</v>
      </c>
      <c r="D43" s="31">
        <f t="shared" si="21"/>
        <v>44.64081335</v>
      </c>
      <c r="E43" s="26">
        <v>46038.0</v>
      </c>
      <c r="F43" s="31">
        <f t="shared" si="22"/>
        <v>3.332421293</v>
      </c>
      <c r="G43" s="26">
        <v>1165043.0</v>
      </c>
      <c r="H43" s="31">
        <f t="shared" si="23"/>
        <v>84.33064209</v>
      </c>
      <c r="I43" s="26">
        <v>76609.0</v>
      </c>
      <c r="J43" s="31">
        <f t="shared" si="24"/>
        <v>5.545277007</v>
      </c>
      <c r="K43" s="26">
        <v>25751.0</v>
      </c>
      <c r="L43" s="31">
        <f t="shared" si="25"/>
        <v>1.863964132</v>
      </c>
      <c r="M43" s="26">
        <v>28349.0</v>
      </c>
      <c r="N43" s="31">
        <f t="shared" si="26"/>
        <v>2.052018142</v>
      </c>
      <c r="O43" s="26">
        <v>290545.0</v>
      </c>
      <c r="P43" s="31">
        <f t="shared" si="27"/>
        <v>21.03085157</v>
      </c>
      <c r="Q43" s="26">
        <v>410974.0</v>
      </c>
      <c r="R43" s="31">
        <f t="shared" si="28"/>
        <v>29.74800184</v>
      </c>
      <c r="S43" s="26">
        <v>2948.0</v>
      </c>
      <c r="T43" s="31">
        <f t="shared" si="29"/>
        <v>0.2133884611</v>
      </c>
      <c r="U43" s="26">
        <v>16876.0</v>
      </c>
      <c r="V43" s="31">
        <f t="shared" si="30"/>
        <v>1.22155484</v>
      </c>
      <c r="W43" s="26">
        <v>97445.0</v>
      </c>
      <c r="X43" s="31">
        <f t="shared" si="31"/>
        <v>7.053473064</v>
      </c>
      <c r="Y43" s="26">
        <v>248949.0</v>
      </c>
      <c r="Z43" s="31">
        <f t="shared" si="32"/>
        <v>18.01996065</v>
      </c>
      <c r="AA43" s="26">
        <v>30640.0</v>
      </c>
      <c r="AB43" s="31">
        <f t="shared" si="33"/>
        <v>2.21785022</v>
      </c>
      <c r="AC43" s="26">
        <v>20944.0</v>
      </c>
      <c r="AD43" s="31">
        <f t="shared" si="34"/>
        <v>1.516013545</v>
      </c>
      <c r="AE43" s="26">
        <v>9114.0</v>
      </c>
      <c r="AF43" s="31">
        <f t="shared" si="35"/>
        <v>0.6597091026</v>
      </c>
      <c r="AG43" s="26">
        <v>16725.0</v>
      </c>
      <c r="AH43" s="31">
        <f t="shared" si="36"/>
        <v>1.210624834</v>
      </c>
      <c r="AI43" s="26">
        <v>43182.0</v>
      </c>
      <c r="AJ43" s="31">
        <f t="shared" si="37"/>
        <v>3.125692173</v>
      </c>
      <c r="AK43" s="26">
        <v>20605.0</v>
      </c>
      <c r="AL43" s="31">
        <f t="shared" si="38"/>
        <v>1.491475319</v>
      </c>
      <c r="AM43" s="26">
        <v>41410.0</v>
      </c>
      <c r="AN43" s="31">
        <f t="shared" si="39"/>
        <v>2.997427467</v>
      </c>
      <c r="AO43" s="26">
        <v>91855.0</v>
      </c>
      <c r="AP43" s="31">
        <f t="shared" si="40"/>
        <v>6.64884569</v>
      </c>
      <c r="AQ43" s="58"/>
      <c r="AR43" s="58"/>
      <c r="AS43" s="58"/>
      <c r="AT43" s="58"/>
      <c r="AU43" s="58"/>
      <c r="AV43" s="58"/>
      <c r="AW43" s="58"/>
      <c r="AX43" s="58"/>
      <c r="AY43" s="58"/>
      <c r="AZ43" s="58"/>
      <c r="BA43" s="58"/>
      <c r="BB43" s="58"/>
      <c r="BC43" s="58"/>
    </row>
    <row r="44" ht="15.75" customHeight="1">
      <c r="A44" s="25" t="s">
        <v>53</v>
      </c>
      <c r="B44" s="26">
        <v>4053706.0</v>
      </c>
      <c r="C44" s="26">
        <v>1374053.0</v>
      </c>
      <c r="D44" s="31">
        <f t="shared" si="21"/>
        <v>33.89621744</v>
      </c>
      <c r="E44" s="26">
        <v>27854.0</v>
      </c>
      <c r="F44" s="31">
        <f t="shared" si="22"/>
        <v>2.027141602</v>
      </c>
      <c r="G44" s="26">
        <v>1245408.0</v>
      </c>
      <c r="H44" s="31">
        <f t="shared" si="23"/>
        <v>90.63755183</v>
      </c>
      <c r="I44" s="26">
        <v>76737.0</v>
      </c>
      <c r="J44" s="31">
        <f t="shared" si="24"/>
        <v>5.584719076</v>
      </c>
      <c r="K44" s="26">
        <v>9317.0</v>
      </c>
      <c r="L44" s="31">
        <f t="shared" si="25"/>
        <v>0.6780670032</v>
      </c>
      <c r="M44" s="26">
        <v>12844.0</v>
      </c>
      <c r="N44" s="31">
        <f t="shared" si="26"/>
        <v>0.9347528807</v>
      </c>
      <c r="O44" s="26">
        <v>233797.0</v>
      </c>
      <c r="P44" s="31">
        <f t="shared" si="27"/>
        <v>17.01513697</v>
      </c>
      <c r="Q44" s="26">
        <v>376484.0</v>
      </c>
      <c r="R44" s="31">
        <f t="shared" si="28"/>
        <v>27.39952535</v>
      </c>
      <c r="S44" s="26">
        <v>7280.0</v>
      </c>
      <c r="T44" s="31">
        <f t="shared" si="29"/>
        <v>0.5298194466</v>
      </c>
      <c r="U44" s="26">
        <v>19389.0</v>
      </c>
      <c r="V44" s="31">
        <f t="shared" si="30"/>
        <v>1.411080941</v>
      </c>
      <c r="W44" s="26">
        <v>109463.0</v>
      </c>
      <c r="X44" s="31">
        <f t="shared" si="31"/>
        <v>7.966432154</v>
      </c>
      <c r="Y44" s="26">
        <v>154805.0</v>
      </c>
      <c r="Z44" s="31">
        <f t="shared" si="32"/>
        <v>11.26630487</v>
      </c>
      <c r="AA44" s="26">
        <v>21532.0</v>
      </c>
      <c r="AB44" s="31">
        <f t="shared" si="33"/>
        <v>1.567042902</v>
      </c>
      <c r="AC44" s="26">
        <v>28448.0</v>
      </c>
      <c r="AD44" s="31">
        <f t="shared" si="34"/>
        <v>2.070371376</v>
      </c>
      <c r="AE44" s="26">
        <v>5885.0</v>
      </c>
      <c r="AF44" s="31">
        <f t="shared" si="35"/>
        <v>0.4282949784</v>
      </c>
      <c r="AG44" s="26">
        <v>23282.0</v>
      </c>
      <c r="AH44" s="31">
        <f t="shared" si="36"/>
        <v>1.694403345</v>
      </c>
      <c r="AI44" s="26">
        <v>17601.0</v>
      </c>
      <c r="AJ44" s="31">
        <f t="shared" si="37"/>
        <v>1.280954956</v>
      </c>
      <c r="AK44" s="26">
        <v>15163.0</v>
      </c>
      <c r="AL44" s="31">
        <f t="shared" si="38"/>
        <v>1.103523663</v>
      </c>
      <c r="AM44" s="26">
        <v>25116.0</v>
      </c>
      <c r="AN44" s="31">
        <f t="shared" si="39"/>
        <v>1.827877091</v>
      </c>
      <c r="AO44" s="26">
        <v>45825.0</v>
      </c>
      <c r="AP44" s="31">
        <f t="shared" si="40"/>
        <v>3.335024195</v>
      </c>
      <c r="AQ44" s="58"/>
      <c r="AR44" s="58"/>
      <c r="AS44" s="58"/>
      <c r="AT44" s="58"/>
      <c r="AU44" s="58"/>
      <c r="AV44" s="58"/>
      <c r="AW44" s="58"/>
      <c r="AX44" s="58"/>
      <c r="AY44" s="58"/>
      <c r="AZ44" s="58"/>
      <c r="BA44" s="58"/>
      <c r="BB44" s="58"/>
      <c r="BC44" s="58"/>
    </row>
    <row r="45" ht="15.75" customHeight="1">
      <c r="A45" s="25" t="s">
        <v>54</v>
      </c>
      <c r="B45" s="26">
        <v>4522717.0</v>
      </c>
      <c r="C45" s="26">
        <v>1497769.0</v>
      </c>
      <c r="D45" s="31">
        <f t="shared" si="21"/>
        <v>33.11657572</v>
      </c>
      <c r="E45" s="26">
        <v>31852.0</v>
      </c>
      <c r="F45" s="31">
        <f t="shared" si="22"/>
        <v>2.126629674</v>
      </c>
      <c r="G45" s="26">
        <v>1299122.0</v>
      </c>
      <c r="H45" s="31">
        <f t="shared" si="23"/>
        <v>86.73714037</v>
      </c>
      <c r="I45" s="26">
        <v>74736.0</v>
      </c>
      <c r="J45" s="31">
        <f t="shared" si="24"/>
        <v>4.989821528</v>
      </c>
      <c r="K45" s="26">
        <v>22596.0</v>
      </c>
      <c r="L45" s="31">
        <f t="shared" si="25"/>
        <v>1.508643856</v>
      </c>
      <c r="M45" s="26">
        <v>25225.0</v>
      </c>
      <c r="N45" s="31">
        <f t="shared" si="26"/>
        <v>1.684171591</v>
      </c>
      <c r="O45" s="26">
        <v>226016.0</v>
      </c>
      <c r="P45" s="31">
        <f t="shared" si="27"/>
        <v>15.09017746</v>
      </c>
      <c r="Q45" s="26">
        <v>475257.0</v>
      </c>
      <c r="R45" s="31">
        <f t="shared" si="28"/>
        <v>31.73099457</v>
      </c>
      <c r="S45" s="26">
        <v>4527.0</v>
      </c>
      <c r="T45" s="31">
        <f t="shared" si="29"/>
        <v>0.3022495458</v>
      </c>
      <c r="U45" s="26">
        <v>5830.0</v>
      </c>
      <c r="V45" s="31">
        <f t="shared" si="30"/>
        <v>0.3892456046</v>
      </c>
      <c r="W45" s="26">
        <v>241662.0</v>
      </c>
      <c r="X45" s="31">
        <f t="shared" si="31"/>
        <v>16.13479782</v>
      </c>
      <c r="Y45" s="26">
        <v>258353.0</v>
      </c>
      <c r="Z45" s="31">
        <f t="shared" si="32"/>
        <v>17.24918863</v>
      </c>
      <c r="AA45" s="26">
        <v>26050.0</v>
      </c>
      <c r="AB45" s="31">
        <f t="shared" si="33"/>
        <v>1.739253516</v>
      </c>
      <c r="AC45" s="26">
        <v>25149.0</v>
      </c>
      <c r="AD45" s="31">
        <f t="shared" si="34"/>
        <v>1.679097377</v>
      </c>
      <c r="AE45" s="26">
        <v>19108.0</v>
      </c>
      <c r="AF45" s="31">
        <f t="shared" si="35"/>
        <v>1.275764153</v>
      </c>
      <c r="AG45" s="26">
        <v>36806.0</v>
      </c>
      <c r="AH45" s="31">
        <f t="shared" si="36"/>
        <v>2.457388289</v>
      </c>
      <c r="AI45" s="26">
        <v>20791.0</v>
      </c>
      <c r="AJ45" s="31">
        <f t="shared" si="37"/>
        <v>1.388131281</v>
      </c>
      <c r="AK45" s="26">
        <v>54015.0</v>
      </c>
      <c r="AL45" s="31">
        <f t="shared" si="38"/>
        <v>3.606363865</v>
      </c>
      <c r="AM45" s="26">
        <v>51214.0</v>
      </c>
      <c r="AN45" s="31">
        <f t="shared" si="39"/>
        <v>3.419352383</v>
      </c>
      <c r="AO45" s="26">
        <v>61462.0</v>
      </c>
      <c r="AP45" s="31">
        <f t="shared" si="40"/>
        <v>4.103570043</v>
      </c>
      <c r="AQ45" s="58"/>
      <c r="AR45" s="58"/>
      <c r="AS45" s="58"/>
      <c r="AT45" s="58"/>
      <c r="AU45" s="58"/>
      <c r="AV45" s="58"/>
      <c r="AW45" s="58"/>
      <c r="AX45" s="58"/>
      <c r="AY45" s="58"/>
      <c r="AZ45" s="58"/>
      <c r="BA45" s="58"/>
      <c r="BB45" s="58"/>
      <c r="BC45" s="58"/>
    </row>
    <row r="46" ht="15.75" customHeight="1">
      <c r="A46" s="25" t="s">
        <v>56</v>
      </c>
      <c r="B46" s="26">
        <v>2570726.0</v>
      </c>
      <c r="C46" s="26">
        <v>811117.0</v>
      </c>
      <c r="D46" s="31">
        <f t="shared" si="21"/>
        <v>31.55205961</v>
      </c>
      <c r="E46" s="26">
        <v>30140.0</v>
      </c>
      <c r="F46" s="31">
        <f t="shared" si="22"/>
        <v>3.715863433</v>
      </c>
      <c r="G46" s="26">
        <v>665582.0</v>
      </c>
      <c r="H46" s="31">
        <f t="shared" si="23"/>
        <v>82.05745903</v>
      </c>
      <c r="I46" s="26">
        <v>55316.0</v>
      </c>
      <c r="J46" s="31">
        <f t="shared" si="24"/>
        <v>6.819731309</v>
      </c>
      <c r="K46" s="26">
        <v>10235.0</v>
      </c>
      <c r="L46" s="31">
        <f t="shared" si="25"/>
        <v>1.261840154</v>
      </c>
      <c r="M46" s="26">
        <v>20419.0</v>
      </c>
      <c r="N46" s="31">
        <f t="shared" si="26"/>
        <v>2.517392682</v>
      </c>
      <c r="O46" s="26">
        <v>130881.0</v>
      </c>
      <c r="P46" s="31">
        <f t="shared" si="27"/>
        <v>16.13589655</v>
      </c>
      <c r="Q46" s="26">
        <v>225745.0</v>
      </c>
      <c r="R46" s="31">
        <f t="shared" si="28"/>
        <v>27.83137328</v>
      </c>
      <c r="S46" s="26">
        <v>8012.0</v>
      </c>
      <c r="T46" s="31">
        <f t="shared" si="29"/>
        <v>0.9877736504</v>
      </c>
      <c r="U46" s="26">
        <v>11648.0</v>
      </c>
      <c r="V46" s="31">
        <f t="shared" si="30"/>
        <v>1.436044368</v>
      </c>
      <c r="W46" s="26">
        <v>43390.0</v>
      </c>
      <c r="X46" s="31">
        <f t="shared" si="31"/>
        <v>5.349413217</v>
      </c>
      <c r="Y46" s="26">
        <v>128115.0</v>
      </c>
      <c r="Z46" s="31">
        <f t="shared" si="32"/>
        <v>15.79488532</v>
      </c>
      <c r="AA46" s="26">
        <v>13246.0</v>
      </c>
      <c r="AB46" s="31">
        <f t="shared" si="33"/>
        <v>1.633056637</v>
      </c>
      <c r="AC46" s="26">
        <v>18120.0</v>
      </c>
      <c r="AD46" s="31">
        <f t="shared" si="34"/>
        <v>2.233956384</v>
      </c>
      <c r="AE46" s="26">
        <v>7224.0</v>
      </c>
      <c r="AF46" s="31">
        <f t="shared" si="35"/>
        <v>0.8906236708</v>
      </c>
      <c r="AG46" s="26">
        <v>10361.0</v>
      </c>
      <c r="AH46" s="31">
        <f t="shared" si="36"/>
        <v>1.277374288</v>
      </c>
      <c r="AI46" s="26">
        <v>25734.0</v>
      </c>
      <c r="AJ46" s="31">
        <f t="shared" si="37"/>
        <v>3.172661897</v>
      </c>
      <c r="AK46" s="26">
        <v>16651.0</v>
      </c>
      <c r="AL46" s="31">
        <f t="shared" si="38"/>
        <v>2.052848109</v>
      </c>
      <c r="AM46" s="26">
        <v>30768.0</v>
      </c>
      <c r="AN46" s="31">
        <f t="shared" si="39"/>
        <v>3.793287528</v>
      </c>
      <c r="AO46" s="26">
        <v>55666.0</v>
      </c>
      <c r="AP46" s="31">
        <f t="shared" si="40"/>
        <v>6.86288168</v>
      </c>
      <c r="AQ46" s="58"/>
      <c r="AR46" s="58"/>
      <c r="AS46" s="58"/>
      <c r="AT46" s="58"/>
      <c r="AU46" s="58"/>
      <c r="AV46" s="58"/>
      <c r="AW46" s="58"/>
      <c r="AX46" s="58"/>
      <c r="AY46" s="58"/>
      <c r="AZ46" s="58"/>
      <c r="BA46" s="58"/>
      <c r="BB46" s="58"/>
      <c r="BC46" s="58"/>
    </row>
    <row r="47" ht="15.75" customHeight="1">
      <c r="A47" s="25" t="s">
        <v>57</v>
      </c>
      <c r="B47" s="26">
        <v>1519753.0</v>
      </c>
      <c r="C47" s="26">
        <v>262432.0</v>
      </c>
      <c r="D47" s="31">
        <f t="shared" si="21"/>
        <v>17.26806922</v>
      </c>
      <c r="E47" s="26">
        <v>4450.0</v>
      </c>
      <c r="F47" s="31">
        <f t="shared" si="22"/>
        <v>1.695677356</v>
      </c>
      <c r="G47" s="26">
        <v>233054.0</v>
      </c>
      <c r="H47" s="31">
        <f t="shared" si="23"/>
        <v>88.80548104</v>
      </c>
      <c r="I47" s="26">
        <v>30903.0</v>
      </c>
      <c r="J47" s="31">
        <f t="shared" si="24"/>
        <v>11.77562188</v>
      </c>
      <c r="K47" s="26">
        <v>0.0</v>
      </c>
      <c r="L47" s="31">
        <f t="shared" si="25"/>
        <v>0</v>
      </c>
      <c r="M47" s="26">
        <v>0.0</v>
      </c>
      <c r="N47" s="31">
        <f t="shared" si="26"/>
        <v>0</v>
      </c>
      <c r="O47" s="26">
        <v>49276.0</v>
      </c>
      <c r="P47" s="31">
        <f t="shared" si="27"/>
        <v>18.77667358</v>
      </c>
      <c r="Q47" s="26">
        <v>88488.0</v>
      </c>
      <c r="R47" s="31">
        <f t="shared" si="28"/>
        <v>33.71844897</v>
      </c>
      <c r="S47" s="26">
        <v>5360.0</v>
      </c>
      <c r="T47" s="31">
        <f t="shared" si="29"/>
        <v>2.04243385</v>
      </c>
      <c r="U47" s="26">
        <v>6229.0</v>
      </c>
      <c r="V47" s="31">
        <f t="shared" si="30"/>
        <v>2.373567248</v>
      </c>
      <c r="W47" s="26">
        <v>56691.0</v>
      </c>
      <c r="X47" s="31">
        <f t="shared" si="31"/>
        <v>21.60216742</v>
      </c>
      <c r="Y47" s="26">
        <v>26266.0</v>
      </c>
      <c r="Z47" s="31">
        <f t="shared" si="32"/>
        <v>10.00868796</v>
      </c>
      <c r="AA47" s="26">
        <v>1007.0</v>
      </c>
      <c r="AB47" s="31">
        <f t="shared" si="33"/>
        <v>0.383718449</v>
      </c>
      <c r="AC47" s="26">
        <v>1433.0</v>
      </c>
      <c r="AD47" s="31">
        <f t="shared" si="34"/>
        <v>0.5460462139</v>
      </c>
      <c r="AE47" s="26">
        <v>2225.0</v>
      </c>
      <c r="AF47" s="31">
        <f t="shared" si="35"/>
        <v>0.8478386782</v>
      </c>
      <c r="AG47" s="26">
        <v>2972.0</v>
      </c>
      <c r="AH47" s="31">
        <f t="shared" si="36"/>
        <v>1.132483843</v>
      </c>
      <c r="AI47" s="26">
        <v>6340.0</v>
      </c>
      <c r="AJ47" s="31">
        <f t="shared" si="37"/>
        <v>2.415863919</v>
      </c>
      <c r="AK47" s="26">
        <v>3653.0</v>
      </c>
      <c r="AL47" s="31">
        <f t="shared" si="38"/>
        <v>1.391979637</v>
      </c>
      <c r="AM47" s="26">
        <v>3583.0</v>
      </c>
      <c r="AN47" s="31">
        <f t="shared" si="39"/>
        <v>1.36530606</v>
      </c>
      <c r="AO47" s="26">
        <v>5546.0</v>
      </c>
      <c r="AP47" s="31">
        <f t="shared" si="40"/>
        <v>2.113309353</v>
      </c>
      <c r="AQ47" s="58"/>
      <c r="AR47" s="58"/>
      <c r="AS47" s="58"/>
      <c r="AT47" s="58"/>
      <c r="AU47" s="58"/>
      <c r="AV47" s="58"/>
      <c r="AW47" s="58"/>
      <c r="AX47" s="58"/>
      <c r="AY47" s="58"/>
      <c r="AZ47" s="58"/>
      <c r="BA47" s="58"/>
      <c r="BB47" s="58"/>
      <c r="BC47" s="58"/>
    </row>
    <row r="48" ht="15.75" customHeight="1">
      <c r="A48" s="25" t="s">
        <v>59</v>
      </c>
      <c r="B48" s="26">
        <v>2562942.0</v>
      </c>
      <c r="C48" s="26">
        <v>674428.0</v>
      </c>
      <c r="D48" s="31">
        <f t="shared" si="21"/>
        <v>26.31460252</v>
      </c>
      <c r="E48" s="26">
        <v>18960.0</v>
      </c>
      <c r="F48" s="31">
        <f t="shared" si="22"/>
        <v>2.811271181</v>
      </c>
      <c r="G48" s="26">
        <v>583345.0</v>
      </c>
      <c r="H48" s="31">
        <f t="shared" si="23"/>
        <v>86.4947778</v>
      </c>
      <c r="I48" s="26">
        <v>50576.0</v>
      </c>
      <c r="J48" s="31">
        <f t="shared" si="24"/>
        <v>7.49909553</v>
      </c>
      <c r="K48" s="26">
        <v>9257.0</v>
      </c>
      <c r="L48" s="31">
        <f t="shared" si="25"/>
        <v>1.372570534</v>
      </c>
      <c r="M48" s="26">
        <v>5823.0</v>
      </c>
      <c r="N48" s="31">
        <f t="shared" si="26"/>
        <v>0.8633983168</v>
      </c>
      <c r="O48" s="26">
        <v>140488.0</v>
      </c>
      <c r="P48" s="31">
        <f t="shared" si="27"/>
        <v>20.83068912</v>
      </c>
      <c r="Q48" s="26">
        <v>230203.0</v>
      </c>
      <c r="R48" s="31">
        <f t="shared" si="28"/>
        <v>34.13307277</v>
      </c>
      <c r="S48" s="26">
        <v>9669.0</v>
      </c>
      <c r="T48" s="31">
        <f t="shared" si="29"/>
        <v>1.433659338</v>
      </c>
      <c r="U48" s="26">
        <v>13781.0</v>
      </c>
      <c r="V48" s="31">
        <f t="shared" si="30"/>
        <v>2.043361189</v>
      </c>
      <c r="W48" s="26">
        <v>126754.0</v>
      </c>
      <c r="X48" s="31">
        <f t="shared" si="31"/>
        <v>18.7942968</v>
      </c>
      <c r="Y48" s="26">
        <v>164120.0</v>
      </c>
      <c r="Z48" s="31">
        <f t="shared" si="32"/>
        <v>24.33469548</v>
      </c>
      <c r="AA48" s="26">
        <v>30195.0</v>
      </c>
      <c r="AB48" s="31">
        <f t="shared" si="33"/>
        <v>4.477127284</v>
      </c>
      <c r="AC48" s="26">
        <v>11438.0</v>
      </c>
      <c r="AD48" s="31">
        <f t="shared" si="34"/>
        <v>1.695955684</v>
      </c>
      <c r="AE48" s="26">
        <v>16549.0</v>
      </c>
      <c r="AF48" s="31">
        <f t="shared" si="35"/>
        <v>2.453783058</v>
      </c>
      <c r="AG48" s="26">
        <v>13811.0</v>
      </c>
      <c r="AH48" s="31">
        <f t="shared" si="36"/>
        <v>2.047809403</v>
      </c>
      <c r="AI48" s="26">
        <v>37814.0</v>
      </c>
      <c r="AJ48" s="31">
        <f t="shared" si="37"/>
        <v>5.606825339</v>
      </c>
      <c r="AK48" s="26">
        <v>11691.0</v>
      </c>
      <c r="AL48" s="31">
        <f t="shared" si="38"/>
        <v>1.733468954</v>
      </c>
      <c r="AM48" s="26">
        <v>14428.0</v>
      </c>
      <c r="AN48" s="31">
        <f t="shared" si="39"/>
        <v>2.139294335</v>
      </c>
      <c r="AO48" s="26">
        <v>34961.0</v>
      </c>
      <c r="AP48" s="31">
        <f t="shared" si="40"/>
        <v>5.183800198</v>
      </c>
      <c r="AQ48" s="58"/>
      <c r="AR48" s="58"/>
      <c r="AS48" s="58"/>
      <c r="AT48" s="58"/>
      <c r="AU48" s="58"/>
      <c r="AV48" s="58"/>
      <c r="AW48" s="58"/>
      <c r="AX48" s="58"/>
      <c r="AY48" s="58"/>
      <c r="AZ48" s="58"/>
      <c r="BA48" s="58"/>
      <c r="BB48" s="58"/>
      <c r="BC48" s="58"/>
    </row>
    <row r="49" ht="15.75" customHeight="1">
      <c r="A49" s="25" t="s">
        <v>60</v>
      </c>
      <c r="B49" s="26">
        <v>2373668.0</v>
      </c>
      <c r="C49" s="26">
        <v>462806.0</v>
      </c>
      <c r="D49" s="31">
        <f t="shared" si="21"/>
        <v>19.49750344</v>
      </c>
      <c r="E49" s="26">
        <v>7466.0</v>
      </c>
      <c r="F49" s="31">
        <f t="shared" si="22"/>
        <v>1.61320294</v>
      </c>
      <c r="G49" s="26">
        <v>398078.0</v>
      </c>
      <c r="H49" s="31">
        <f t="shared" si="23"/>
        <v>86.01401019</v>
      </c>
      <c r="I49" s="26">
        <v>29019.0</v>
      </c>
      <c r="J49" s="31">
        <f t="shared" si="24"/>
        <v>6.270229859</v>
      </c>
      <c r="K49" s="26">
        <v>11452.0</v>
      </c>
      <c r="L49" s="31">
        <f t="shared" si="25"/>
        <v>2.474470945</v>
      </c>
      <c r="M49" s="26">
        <v>13119.0</v>
      </c>
      <c r="N49" s="31">
        <f t="shared" si="26"/>
        <v>2.834665065</v>
      </c>
      <c r="O49" s="26">
        <v>65565.0</v>
      </c>
      <c r="P49" s="31">
        <f t="shared" si="27"/>
        <v>14.16684313</v>
      </c>
      <c r="Q49" s="26">
        <v>165022.0</v>
      </c>
      <c r="R49" s="31">
        <f t="shared" si="28"/>
        <v>35.6568411</v>
      </c>
      <c r="S49" s="26">
        <v>1795.0</v>
      </c>
      <c r="T49" s="31">
        <f t="shared" si="29"/>
        <v>0.3878514972</v>
      </c>
      <c r="U49" s="26">
        <v>16125.0</v>
      </c>
      <c r="V49" s="31">
        <f t="shared" si="30"/>
        <v>3.484181277</v>
      </c>
      <c r="W49" s="26">
        <v>38099.0</v>
      </c>
      <c r="X49" s="31">
        <f t="shared" si="31"/>
        <v>8.232175037</v>
      </c>
      <c r="Y49" s="26">
        <v>82203.0</v>
      </c>
      <c r="Z49" s="31">
        <f t="shared" si="32"/>
        <v>17.76186998</v>
      </c>
      <c r="AA49" s="26">
        <v>7924.0</v>
      </c>
      <c r="AB49" s="31">
        <f t="shared" si="33"/>
        <v>1.712164492</v>
      </c>
      <c r="AC49" s="26">
        <v>14550.0</v>
      </c>
      <c r="AD49" s="31">
        <f t="shared" si="34"/>
        <v>3.143865896</v>
      </c>
      <c r="AE49" s="26">
        <v>9330.0</v>
      </c>
      <c r="AF49" s="31">
        <f t="shared" si="35"/>
        <v>2.015963492</v>
      </c>
      <c r="AG49" s="26">
        <v>9957.0</v>
      </c>
      <c r="AH49" s="31">
        <f t="shared" si="36"/>
        <v>2.151441425</v>
      </c>
      <c r="AI49" s="26">
        <v>11549.0</v>
      </c>
      <c r="AJ49" s="31">
        <f t="shared" si="37"/>
        <v>2.495430051</v>
      </c>
      <c r="AK49" s="26">
        <v>9425.0</v>
      </c>
      <c r="AL49" s="31">
        <f t="shared" si="38"/>
        <v>2.036490452</v>
      </c>
      <c r="AM49" s="26">
        <v>6374.0</v>
      </c>
      <c r="AN49" s="31">
        <f t="shared" si="39"/>
        <v>1.377250943</v>
      </c>
      <c r="AO49" s="26">
        <v>5407.0</v>
      </c>
      <c r="AP49" s="31">
        <f t="shared" si="40"/>
        <v>1.168308103</v>
      </c>
      <c r="AQ49" s="58"/>
      <c r="AR49" s="58"/>
      <c r="AS49" s="58"/>
      <c r="AT49" s="58"/>
      <c r="AU49" s="58"/>
      <c r="AV49" s="58"/>
      <c r="AW49" s="58"/>
      <c r="AX49" s="58"/>
      <c r="AY49" s="58"/>
      <c r="AZ49" s="58"/>
      <c r="BA49" s="58"/>
      <c r="BB49" s="58"/>
      <c r="BC49" s="58"/>
    </row>
    <row r="50" ht="15.75" customHeight="1">
      <c r="A50" s="25" t="s">
        <v>63</v>
      </c>
      <c r="B50" s="26">
        <v>2212721.0</v>
      </c>
      <c r="C50" s="26">
        <v>661052.0</v>
      </c>
      <c r="D50" s="31">
        <f t="shared" si="21"/>
        <v>29.87507237</v>
      </c>
      <c r="E50" s="26">
        <v>25564.0</v>
      </c>
      <c r="F50" s="31">
        <f t="shared" si="22"/>
        <v>3.8671693</v>
      </c>
      <c r="G50" s="26">
        <v>531427.0</v>
      </c>
      <c r="H50" s="31">
        <f t="shared" si="23"/>
        <v>80.39110388</v>
      </c>
      <c r="I50" s="26">
        <v>51322.0</v>
      </c>
      <c r="J50" s="31">
        <f t="shared" si="24"/>
        <v>7.763685761</v>
      </c>
      <c r="K50" s="26">
        <v>8644.0</v>
      </c>
      <c r="L50" s="31">
        <f t="shared" si="25"/>
        <v>1.307612714</v>
      </c>
      <c r="M50" s="26">
        <v>17428.0</v>
      </c>
      <c r="N50" s="31">
        <f t="shared" si="26"/>
        <v>2.636403793</v>
      </c>
      <c r="O50" s="26">
        <v>140498.0</v>
      </c>
      <c r="P50" s="31">
        <f t="shared" si="27"/>
        <v>21.25369865</v>
      </c>
      <c r="Q50" s="26">
        <v>184664.0</v>
      </c>
      <c r="R50" s="31">
        <f t="shared" si="28"/>
        <v>27.93486745</v>
      </c>
      <c r="S50" s="26">
        <v>4310.0</v>
      </c>
      <c r="T50" s="31">
        <f t="shared" si="29"/>
        <v>0.6519910688</v>
      </c>
      <c r="U50" s="26">
        <v>10533.0</v>
      </c>
      <c r="V50" s="31">
        <f t="shared" si="30"/>
        <v>1.593369357</v>
      </c>
      <c r="W50" s="26">
        <v>56748.0</v>
      </c>
      <c r="X50" s="31">
        <f t="shared" si="31"/>
        <v>8.584498648</v>
      </c>
      <c r="Y50" s="26">
        <v>165008.0</v>
      </c>
      <c r="Z50" s="31">
        <f t="shared" si="32"/>
        <v>24.96142512</v>
      </c>
      <c r="AA50" s="26">
        <v>16648.0</v>
      </c>
      <c r="AB50" s="31">
        <f t="shared" si="33"/>
        <v>2.518410049</v>
      </c>
      <c r="AC50" s="26">
        <v>21805.0</v>
      </c>
      <c r="AD50" s="31">
        <f t="shared" si="34"/>
        <v>3.298530222</v>
      </c>
      <c r="AE50" s="26">
        <v>8457.0</v>
      </c>
      <c r="AF50" s="31">
        <f t="shared" si="35"/>
        <v>1.279324471</v>
      </c>
      <c r="AG50" s="26">
        <v>11551.0</v>
      </c>
      <c r="AH50" s="31">
        <f t="shared" si="36"/>
        <v>1.747366319</v>
      </c>
      <c r="AI50" s="26">
        <v>20339.0</v>
      </c>
      <c r="AJ50" s="31">
        <f t="shared" si="37"/>
        <v>3.076762494</v>
      </c>
      <c r="AK50" s="26">
        <v>8010.0</v>
      </c>
      <c r="AL50" s="31">
        <f t="shared" si="38"/>
        <v>1.211704979</v>
      </c>
      <c r="AM50" s="26">
        <v>18290.0</v>
      </c>
      <c r="AN50" s="31">
        <f t="shared" si="39"/>
        <v>2.766802006</v>
      </c>
      <c r="AO50" s="26">
        <v>24911.0</v>
      </c>
      <c r="AP50" s="31">
        <f t="shared" si="40"/>
        <v>3.768387358</v>
      </c>
      <c r="AQ50" s="58"/>
      <c r="AR50" s="58"/>
      <c r="AS50" s="58"/>
      <c r="AT50" s="58"/>
      <c r="AU50" s="58"/>
      <c r="AV50" s="58"/>
      <c r="AW50" s="58"/>
      <c r="AX50" s="58"/>
      <c r="AY50" s="58"/>
      <c r="AZ50" s="58"/>
      <c r="BA50" s="58"/>
      <c r="BB50" s="58"/>
      <c r="BC50" s="58"/>
    </row>
    <row r="51" ht="15.75" customHeight="1">
      <c r="A51" s="25" t="s">
        <v>64</v>
      </c>
      <c r="B51" s="26">
        <v>1456025.0</v>
      </c>
      <c r="C51" s="26">
        <v>425995.0</v>
      </c>
      <c r="D51" s="31">
        <f t="shared" si="21"/>
        <v>29.25739599</v>
      </c>
      <c r="E51" s="26">
        <v>7821.0</v>
      </c>
      <c r="F51" s="31">
        <f t="shared" si="22"/>
        <v>1.835937042</v>
      </c>
      <c r="G51" s="26">
        <v>354633.0</v>
      </c>
      <c r="H51" s="31">
        <f t="shared" si="23"/>
        <v>83.24816019</v>
      </c>
      <c r="I51" s="26">
        <v>23370.0</v>
      </c>
      <c r="J51" s="31">
        <f t="shared" si="24"/>
        <v>5.485979882</v>
      </c>
      <c r="K51" s="26">
        <v>3942.0</v>
      </c>
      <c r="L51" s="31">
        <f t="shared" si="25"/>
        <v>0.9253629737</v>
      </c>
      <c r="M51" s="26">
        <v>10896.0</v>
      </c>
      <c r="N51" s="31">
        <f t="shared" si="26"/>
        <v>2.5577765</v>
      </c>
      <c r="O51" s="26">
        <v>89047.0</v>
      </c>
      <c r="P51" s="31">
        <f t="shared" si="27"/>
        <v>20.90329699</v>
      </c>
      <c r="Q51" s="26">
        <v>131919.0</v>
      </c>
      <c r="R51" s="31">
        <f t="shared" si="28"/>
        <v>30.96726487</v>
      </c>
      <c r="S51" s="26">
        <v>6513.0</v>
      </c>
      <c r="T51" s="31">
        <f t="shared" si="29"/>
        <v>1.528891184</v>
      </c>
      <c r="U51" s="26">
        <v>4642.0</v>
      </c>
      <c r="V51" s="31">
        <f t="shared" si="30"/>
        <v>1.089684151</v>
      </c>
      <c r="W51" s="26">
        <v>34515.0</v>
      </c>
      <c r="X51" s="31">
        <f t="shared" si="31"/>
        <v>8.102207772</v>
      </c>
      <c r="Y51" s="26">
        <v>48818.0</v>
      </c>
      <c r="Z51" s="31">
        <f t="shared" si="32"/>
        <v>11.45975892</v>
      </c>
      <c r="AA51" s="26">
        <v>4695.0</v>
      </c>
      <c r="AB51" s="31">
        <f t="shared" si="33"/>
        <v>1.102125612</v>
      </c>
      <c r="AC51" s="26">
        <v>11565.0</v>
      </c>
      <c r="AD51" s="31">
        <f t="shared" si="34"/>
        <v>2.714820596</v>
      </c>
      <c r="AE51" s="26">
        <v>4647.0</v>
      </c>
      <c r="AF51" s="31">
        <f t="shared" si="35"/>
        <v>1.090857874</v>
      </c>
      <c r="AG51" s="26">
        <v>4499.0</v>
      </c>
      <c r="AH51" s="31">
        <f t="shared" si="36"/>
        <v>1.056115682</v>
      </c>
      <c r="AI51" s="26">
        <v>8040.0</v>
      </c>
      <c r="AJ51" s="31">
        <f t="shared" si="37"/>
        <v>1.887346096</v>
      </c>
      <c r="AK51" s="26">
        <v>6866.0</v>
      </c>
      <c r="AL51" s="31">
        <f t="shared" si="38"/>
        <v>1.611756007</v>
      </c>
      <c r="AM51" s="26">
        <v>11094.0</v>
      </c>
      <c r="AN51" s="31">
        <f t="shared" si="39"/>
        <v>2.604255918</v>
      </c>
      <c r="AO51" s="26">
        <v>33704.0</v>
      </c>
      <c r="AP51" s="31">
        <f t="shared" si="40"/>
        <v>7.911829951</v>
      </c>
      <c r="AQ51" s="58"/>
      <c r="AR51" s="58"/>
      <c r="AS51" s="58"/>
      <c r="AT51" s="58"/>
      <c r="AU51" s="58"/>
      <c r="AV51" s="58"/>
      <c r="AW51" s="58"/>
      <c r="AX51" s="58"/>
      <c r="AY51" s="58"/>
      <c r="AZ51" s="58"/>
      <c r="BA51" s="58"/>
      <c r="BB51" s="58"/>
      <c r="BC51" s="58"/>
    </row>
    <row r="52" ht="15.75" customHeight="1">
      <c r="A52" s="25" t="s">
        <v>65</v>
      </c>
      <c r="B52" s="26">
        <v>1496986.0</v>
      </c>
      <c r="C52" s="26">
        <v>182257.0</v>
      </c>
      <c r="D52" s="31">
        <f t="shared" si="21"/>
        <v>12.17493016</v>
      </c>
      <c r="E52" s="26">
        <v>7096.0</v>
      </c>
      <c r="F52" s="31">
        <f t="shared" si="22"/>
        <v>3.893403271</v>
      </c>
      <c r="G52" s="26">
        <v>179490.0</v>
      </c>
      <c r="H52" s="31">
        <f t="shared" si="23"/>
        <v>98.48181414</v>
      </c>
      <c r="I52" s="26">
        <v>9590.0</v>
      </c>
      <c r="J52" s="31">
        <f t="shared" si="24"/>
        <v>5.261800644</v>
      </c>
      <c r="K52" s="26">
        <v>2479.0</v>
      </c>
      <c r="L52" s="31">
        <f t="shared" si="25"/>
        <v>1.360167236</v>
      </c>
      <c r="M52" s="26">
        <v>2221.0</v>
      </c>
      <c r="N52" s="31">
        <f t="shared" si="26"/>
        <v>1.218608887</v>
      </c>
      <c r="O52" s="26">
        <v>27490.0</v>
      </c>
      <c r="P52" s="31">
        <f t="shared" si="27"/>
        <v>15.08309695</v>
      </c>
      <c r="Q52" s="26">
        <v>103026.0</v>
      </c>
      <c r="R52" s="31">
        <f t="shared" si="28"/>
        <v>56.52786999</v>
      </c>
      <c r="S52" s="26">
        <v>1227.0</v>
      </c>
      <c r="T52" s="31">
        <f t="shared" si="29"/>
        <v>0.673225171</v>
      </c>
      <c r="U52" s="26">
        <v>0.0</v>
      </c>
      <c r="V52" s="31">
        <f t="shared" si="30"/>
        <v>0</v>
      </c>
      <c r="W52" s="26">
        <v>6881.0</v>
      </c>
      <c r="X52" s="31">
        <f t="shared" si="31"/>
        <v>3.77543798</v>
      </c>
      <c r="Y52" s="26">
        <v>21230.0</v>
      </c>
      <c r="Z52" s="31">
        <f t="shared" si="32"/>
        <v>11.64838662</v>
      </c>
      <c r="AA52" s="26">
        <v>994.0</v>
      </c>
      <c r="AB52" s="31">
        <f t="shared" si="33"/>
        <v>0.5453837164</v>
      </c>
      <c r="AC52" s="26">
        <v>2172.0</v>
      </c>
      <c r="AD52" s="31">
        <f t="shared" si="34"/>
        <v>1.191723775</v>
      </c>
      <c r="AE52" s="26">
        <v>1762.0</v>
      </c>
      <c r="AF52" s="31">
        <f t="shared" si="35"/>
        <v>0.9667667085</v>
      </c>
      <c r="AG52" s="26">
        <v>1485.0</v>
      </c>
      <c r="AH52" s="31">
        <f t="shared" si="36"/>
        <v>0.81478352</v>
      </c>
      <c r="AI52" s="26">
        <v>1485.0</v>
      </c>
      <c r="AJ52" s="31">
        <f t="shared" si="37"/>
        <v>0.81478352</v>
      </c>
      <c r="AK52" s="26">
        <v>2444.0</v>
      </c>
      <c r="AL52" s="31">
        <f t="shared" si="38"/>
        <v>1.340963584</v>
      </c>
      <c r="AM52" s="26">
        <v>2856.0</v>
      </c>
      <c r="AN52" s="31">
        <f t="shared" si="39"/>
        <v>1.567018002</v>
      </c>
      <c r="AO52" s="26">
        <v>3416.0</v>
      </c>
      <c r="AP52" s="31">
        <f t="shared" si="40"/>
        <v>1.874276434</v>
      </c>
      <c r="AQ52" s="58"/>
      <c r="AR52" s="58"/>
      <c r="AS52" s="58"/>
      <c r="AT52" s="58"/>
      <c r="AU52" s="58"/>
      <c r="AV52" s="58"/>
      <c r="AW52" s="58"/>
      <c r="AX52" s="58"/>
      <c r="AY52" s="58"/>
      <c r="AZ52" s="58"/>
      <c r="BA52" s="58"/>
      <c r="BB52" s="58"/>
      <c r="BC52" s="58"/>
    </row>
    <row r="53" ht="15.75" customHeight="1">
      <c r="A53" s="28"/>
      <c r="B53" s="28"/>
      <c r="C53" s="28"/>
      <c r="D53" s="28"/>
      <c r="E53" s="28"/>
      <c r="F53" s="28"/>
      <c r="G53" s="28"/>
      <c r="H53" s="28"/>
      <c r="I53" s="28"/>
      <c r="J53" s="28"/>
      <c r="K53" s="28"/>
      <c r="L53" s="28"/>
      <c r="M53" s="28"/>
      <c r="N53" s="28"/>
      <c r="O53" s="28"/>
      <c r="P53" s="28"/>
      <c r="Q53" s="28"/>
      <c r="R53" s="28"/>
      <c r="S53" s="28"/>
      <c r="T53" s="28"/>
      <c r="U53" s="28"/>
      <c r="V53" s="28"/>
      <c r="W53" s="28"/>
      <c r="X53" s="28"/>
      <c r="Y53" s="28"/>
      <c r="Z53" s="28"/>
      <c r="AA53" s="28"/>
      <c r="AB53" s="28"/>
      <c r="AC53" s="28"/>
      <c r="AD53" s="28"/>
      <c r="AE53" s="28"/>
      <c r="AF53" s="28"/>
      <c r="AG53" s="28"/>
      <c r="AH53" s="28"/>
      <c r="AI53" s="28"/>
      <c r="AJ53" s="28"/>
      <c r="AK53" s="28"/>
      <c r="AL53" s="28"/>
      <c r="AM53" s="28"/>
      <c r="AN53" s="28"/>
      <c r="AO53" s="28"/>
      <c r="AP53" s="28"/>
      <c r="AQ53" s="60"/>
      <c r="AR53" s="60"/>
      <c r="AS53" s="60"/>
      <c r="AT53" s="60"/>
      <c r="AU53" s="60"/>
      <c r="AV53" s="60"/>
      <c r="AW53" s="60"/>
      <c r="AX53" s="60"/>
      <c r="AY53" s="60"/>
      <c r="AZ53" s="60"/>
      <c r="BA53" s="60"/>
      <c r="BB53" s="60"/>
      <c r="BC53" s="60"/>
    </row>
    <row r="54" ht="15.75" customHeight="1">
      <c r="A54" s="9"/>
      <c r="B54" s="9"/>
      <c r="C54" s="9"/>
      <c r="D54" s="9"/>
      <c r="E54" s="9"/>
      <c r="F54" s="9"/>
      <c r="G54" s="9"/>
      <c r="H54" s="9"/>
      <c r="I54" s="9"/>
      <c r="J54" s="9"/>
      <c r="K54" s="9"/>
      <c r="L54" s="9"/>
      <c r="M54" s="9"/>
      <c r="N54" s="9"/>
      <c r="O54" s="9"/>
      <c r="P54" s="9"/>
      <c r="Q54" s="9"/>
      <c r="R54" s="9"/>
      <c r="S54" s="9"/>
      <c r="T54" s="9"/>
      <c r="U54" s="9"/>
      <c r="V54" s="9"/>
      <c r="W54" s="9"/>
      <c r="X54" s="9"/>
      <c r="Y54" s="9"/>
      <c r="Z54" s="9"/>
      <c r="AA54" s="9"/>
      <c r="AB54" s="9"/>
      <c r="AC54" s="9"/>
      <c r="AD54" s="9"/>
      <c r="AE54" s="9"/>
      <c r="AF54" s="9"/>
      <c r="AG54" s="9"/>
      <c r="AH54" s="9"/>
      <c r="AI54" s="9"/>
      <c r="AJ54" s="9"/>
      <c r="AK54" s="9"/>
      <c r="AL54" s="9"/>
      <c r="AM54" s="9"/>
      <c r="AN54" s="9"/>
      <c r="AO54" s="9"/>
      <c r="AP54" s="9"/>
      <c r="AQ54" s="9"/>
      <c r="AR54" s="9"/>
      <c r="AS54" s="9"/>
      <c r="AT54" s="9"/>
      <c r="AU54" s="9"/>
      <c r="AV54" s="9"/>
      <c r="AW54" s="9"/>
      <c r="AX54" s="9"/>
      <c r="AY54" s="9"/>
      <c r="AZ54" s="9"/>
      <c r="BA54" s="9"/>
      <c r="BB54" s="9"/>
      <c r="BC54" s="9"/>
    </row>
    <row r="55" ht="15.75" customHeight="1">
      <c r="A55" s="29" t="s">
        <v>69</v>
      </c>
      <c r="B55" s="29"/>
      <c r="C55" s="29"/>
      <c r="D55" s="29"/>
      <c r="E55" s="29"/>
      <c r="F55" s="29"/>
      <c r="G55" s="29"/>
      <c r="H55" s="29"/>
      <c r="I55" s="29"/>
      <c r="J55" s="29"/>
      <c r="K55" s="29"/>
      <c r="L55" s="29"/>
      <c r="M55" s="29"/>
      <c r="N55" s="29"/>
      <c r="O55" s="29"/>
      <c r="P55" s="29"/>
      <c r="Q55" s="29"/>
      <c r="R55" s="29"/>
      <c r="S55" s="29"/>
      <c r="T55" s="29"/>
      <c r="U55" s="29"/>
      <c r="V55" s="29"/>
      <c r="W55" s="29"/>
      <c r="X55" s="29"/>
      <c r="Y55" s="29"/>
      <c r="Z55" s="29"/>
      <c r="AA55" s="29"/>
      <c r="AB55" s="29"/>
      <c r="AC55" s="29"/>
      <c r="AD55" s="29"/>
      <c r="AE55" s="29"/>
      <c r="AF55" s="29"/>
      <c r="AG55" s="29"/>
      <c r="AH55" s="29"/>
      <c r="AI55" s="29"/>
      <c r="AJ55" s="29"/>
      <c r="AK55" s="29"/>
      <c r="AL55" s="29"/>
      <c r="AM55" s="29"/>
      <c r="AN55" s="29"/>
      <c r="AO55" s="29"/>
      <c r="AP55" s="29"/>
      <c r="AQ55" s="29"/>
      <c r="AR55" s="29"/>
      <c r="AS55" s="29"/>
      <c r="AT55" s="29"/>
      <c r="AU55" s="29"/>
      <c r="AV55" s="29"/>
      <c r="AW55" s="29"/>
      <c r="AX55" s="29"/>
      <c r="AY55" s="29"/>
      <c r="AZ55" s="29"/>
      <c r="BA55" s="29"/>
      <c r="BB55" s="29"/>
      <c r="BC55" s="29"/>
    </row>
    <row r="56" ht="15.75" customHeight="1">
      <c r="A56" s="29" t="s">
        <v>72</v>
      </c>
      <c r="B56" s="29"/>
      <c r="C56" s="29"/>
      <c r="D56" s="29"/>
      <c r="E56" s="29"/>
      <c r="F56" s="29"/>
      <c r="G56" s="29"/>
      <c r="H56" s="29"/>
      <c r="I56" s="29"/>
      <c r="J56" s="29"/>
      <c r="K56" s="29"/>
      <c r="L56" s="29"/>
      <c r="M56" s="29"/>
      <c r="N56" s="29"/>
      <c r="O56" s="29"/>
      <c r="P56" s="29"/>
      <c r="Q56" s="29"/>
      <c r="R56" s="29"/>
      <c r="S56" s="29"/>
      <c r="T56" s="29"/>
      <c r="U56" s="29"/>
      <c r="V56" s="29"/>
      <c r="W56" s="29"/>
      <c r="X56" s="29"/>
      <c r="Y56" s="29"/>
      <c r="Z56" s="29"/>
      <c r="AA56" s="29"/>
      <c r="AB56" s="29"/>
      <c r="AC56" s="29"/>
      <c r="AD56" s="29"/>
      <c r="AE56" s="29"/>
      <c r="AF56" s="29"/>
      <c r="AG56" s="29"/>
      <c r="AH56" s="29"/>
      <c r="AI56" s="29"/>
      <c r="AJ56" s="29"/>
      <c r="AK56" s="29"/>
      <c r="AL56" s="29"/>
      <c r="AM56" s="29"/>
      <c r="AN56" s="29"/>
      <c r="AO56" s="29"/>
      <c r="AP56" s="29"/>
      <c r="AQ56" s="29"/>
      <c r="AR56" s="29"/>
      <c r="AS56" s="29"/>
      <c r="AT56" s="29"/>
      <c r="AU56" s="29"/>
      <c r="AV56" s="29"/>
      <c r="AW56" s="29"/>
      <c r="AX56" s="29"/>
      <c r="AY56" s="29"/>
      <c r="AZ56" s="29"/>
      <c r="BA56" s="29"/>
      <c r="BB56" s="29"/>
      <c r="BC56" s="29"/>
    </row>
    <row r="57" ht="15.75" customHeight="1">
      <c r="A57" s="29" t="s">
        <v>446</v>
      </c>
      <c r="B57" s="29"/>
      <c r="C57" s="29"/>
      <c r="D57" s="29"/>
      <c r="E57" s="29"/>
      <c r="F57" s="29"/>
      <c r="G57" s="29"/>
      <c r="H57" s="29"/>
      <c r="I57" s="29"/>
      <c r="J57" s="29"/>
      <c r="K57" s="29"/>
      <c r="L57" s="29"/>
      <c r="M57" s="29"/>
      <c r="N57" s="29"/>
      <c r="O57" s="29"/>
      <c r="P57" s="29"/>
      <c r="Q57" s="29"/>
      <c r="R57" s="29"/>
      <c r="S57" s="29"/>
      <c r="T57" s="29"/>
      <c r="U57" s="29"/>
      <c r="V57" s="29"/>
      <c r="W57" s="29"/>
      <c r="X57" s="29"/>
      <c r="Y57" s="29"/>
      <c r="Z57" s="29"/>
      <c r="AA57" s="29"/>
      <c r="AB57" s="29"/>
      <c r="AC57" s="29"/>
      <c r="AD57" s="29"/>
      <c r="AE57" s="29"/>
      <c r="AF57" s="29"/>
      <c r="AG57" s="29"/>
      <c r="AH57" s="29"/>
      <c r="AI57" s="29"/>
      <c r="AJ57" s="29"/>
      <c r="AK57" s="29"/>
      <c r="AL57" s="29"/>
      <c r="AM57" s="29"/>
      <c r="AN57" s="29"/>
      <c r="AO57" s="29"/>
      <c r="AP57" s="29"/>
      <c r="AQ57" s="29"/>
      <c r="AR57" s="29"/>
      <c r="AS57" s="29"/>
      <c r="AT57" s="29"/>
      <c r="AU57" s="29"/>
      <c r="AV57" s="29"/>
      <c r="AW57" s="29"/>
      <c r="AX57" s="29"/>
      <c r="AY57" s="29"/>
      <c r="AZ57" s="29"/>
      <c r="BA57" s="29"/>
      <c r="BB57" s="29"/>
      <c r="BC57" s="29"/>
    </row>
    <row r="58" ht="15.75" customHeight="1">
      <c r="A58" s="32" t="s">
        <v>76</v>
      </c>
    </row>
    <row r="59" ht="15.75" customHeight="1">
      <c r="A59" s="32"/>
    </row>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0">
    <mergeCell ref="AK6:AL6"/>
    <mergeCell ref="AM6:AN6"/>
    <mergeCell ref="A4:A7"/>
    <mergeCell ref="B4:AP4"/>
    <mergeCell ref="B5:B7"/>
    <mergeCell ref="C5:D6"/>
    <mergeCell ref="E5:AP5"/>
    <mergeCell ref="E6:F6"/>
    <mergeCell ref="G6:H6"/>
    <mergeCell ref="AO6:AP6"/>
    <mergeCell ref="M6:N6"/>
    <mergeCell ref="O6:P6"/>
    <mergeCell ref="Q6:R6"/>
    <mergeCell ref="S6:T6"/>
    <mergeCell ref="U6:V6"/>
    <mergeCell ref="W6:X6"/>
    <mergeCell ref="Y6:Z6"/>
    <mergeCell ref="AA6:AB6"/>
    <mergeCell ref="AC6:AD6"/>
    <mergeCell ref="AE6:AF6"/>
    <mergeCell ref="AG6:AH6"/>
    <mergeCell ref="AI6:AJ6"/>
    <mergeCell ref="E32:F32"/>
    <mergeCell ref="G32:H32"/>
    <mergeCell ref="AK32:AL32"/>
    <mergeCell ref="AM32:AN32"/>
    <mergeCell ref="I6:J6"/>
    <mergeCell ref="K6:L6"/>
    <mergeCell ref="A30:A33"/>
    <mergeCell ref="B30:AP30"/>
    <mergeCell ref="B31:B33"/>
    <mergeCell ref="C31:D32"/>
    <mergeCell ref="E31:AP31"/>
    <mergeCell ref="AO32:AP32"/>
    <mergeCell ref="I32:J32"/>
    <mergeCell ref="K32:L32"/>
    <mergeCell ref="M32:N32"/>
    <mergeCell ref="O32:P32"/>
    <mergeCell ref="A58:Q58"/>
    <mergeCell ref="A59:Q59"/>
    <mergeCell ref="Q32:R32"/>
    <mergeCell ref="S32:T32"/>
    <mergeCell ref="U32:V32"/>
    <mergeCell ref="W32:X32"/>
    <mergeCell ref="Y32:Z32"/>
    <mergeCell ref="AA32:AB32"/>
    <mergeCell ref="AC32:AD32"/>
    <mergeCell ref="AE32:AF32"/>
    <mergeCell ref="AG32:AH32"/>
    <mergeCell ref="AI32:AJ32"/>
  </mergeCells>
  <hyperlinks>
    <hyperlink display="BACK TO LIST" location="LIST!A1" ref="A1"/>
  </hyperlinks>
  <printOptions/>
  <pageMargins bottom="0.75" footer="0.0" header="0.0" left="0.7" right="0.7" top="0.75"/>
  <pageSetup paperSize="9" scale="63" orientation="portrait"/>
  <drawing r:id="rId1"/>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9"/>
    <pageSetUpPr/>
  </sheetPr>
  <sheetViews>
    <sheetView workbookViewId="0"/>
  </sheetViews>
  <sheetFormatPr customHeight="1" defaultColWidth="12.63" defaultRowHeight="15.0"/>
  <cols>
    <col customWidth="1" min="1" max="1" width="39.0"/>
    <col customWidth="1" min="2" max="12" width="16.0"/>
    <col customWidth="1" min="13" max="13" width="17.88"/>
    <col customWidth="1" min="14" max="23" width="14.0"/>
    <col customWidth="1" min="24" max="26" width="8.63"/>
  </cols>
  <sheetData>
    <row r="1">
      <c r="A1" s="5" t="s">
        <v>1</v>
      </c>
      <c r="B1" s="5"/>
      <c r="C1" s="5"/>
      <c r="D1" s="5"/>
      <c r="E1" s="5"/>
      <c r="F1" s="5"/>
      <c r="G1" s="5"/>
      <c r="H1" s="5"/>
      <c r="I1" s="5"/>
      <c r="J1" s="5"/>
      <c r="K1" s="5"/>
      <c r="L1" s="5"/>
    </row>
    <row r="2">
      <c r="A2" s="6" t="s">
        <v>422</v>
      </c>
      <c r="B2" s="6"/>
      <c r="C2" s="6"/>
      <c r="D2" s="6"/>
      <c r="E2" s="6"/>
      <c r="F2" s="6"/>
      <c r="G2" s="6"/>
      <c r="H2" s="6"/>
      <c r="I2" s="6"/>
      <c r="J2" s="6"/>
      <c r="K2" s="6"/>
      <c r="L2" s="6"/>
      <c r="M2" s="6"/>
      <c r="N2" s="6"/>
      <c r="O2" s="6"/>
      <c r="P2" s="53"/>
      <c r="Q2" s="53"/>
      <c r="R2" s="53"/>
      <c r="S2" s="53"/>
      <c r="T2" s="53"/>
      <c r="U2" s="53"/>
      <c r="V2" s="53"/>
      <c r="W2" s="53"/>
    </row>
    <row r="3">
      <c r="A3" s="8"/>
      <c r="B3" s="8"/>
      <c r="C3" s="8"/>
      <c r="D3" s="8"/>
      <c r="E3" s="8"/>
      <c r="F3" s="8"/>
      <c r="G3" s="8"/>
      <c r="H3" s="8"/>
      <c r="I3" s="8"/>
      <c r="J3" s="8"/>
      <c r="K3" s="8"/>
      <c r="L3" s="8"/>
      <c r="M3" s="9"/>
      <c r="N3" s="9"/>
      <c r="O3" s="9"/>
      <c r="P3" s="9"/>
      <c r="Q3" s="9"/>
      <c r="R3" s="9"/>
      <c r="S3" s="9"/>
      <c r="T3" s="9"/>
      <c r="U3" s="9"/>
      <c r="V3" s="9"/>
      <c r="W3" s="9"/>
    </row>
    <row r="4">
      <c r="A4" s="10" t="s">
        <v>13</v>
      </c>
      <c r="B4" s="72">
        <v>2019.0</v>
      </c>
      <c r="C4" s="14"/>
      <c r="D4" s="14"/>
      <c r="E4" s="14"/>
      <c r="F4" s="14"/>
      <c r="G4" s="14"/>
      <c r="H4" s="14"/>
      <c r="I4" s="14"/>
      <c r="J4" s="14"/>
      <c r="K4" s="14"/>
      <c r="L4" s="15"/>
      <c r="M4" s="72">
        <v>2024.0</v>
      </c>
      <c r="N4" s="14"/>
      <c r="O4" s="14"/>
      <c r="P4" s="14"/>
      <c r="Q4" s="14"/>
      <c r="R4" s="14"/>
      <c r="S4" s="14"/>
      <c r="T4" s="14"/>
      <c r="U4" s="14"/>
      <c r="V4" s="14"/>
      <c r="W4" s="15"/>
    </row>
    <row r="5">
      <c r="A5" s="17"/>
      <c r="B5" s="21" t="s">
        <v>423</v>
      </c>
      <c r="C5" s="42" t="s">
        <v>390</v>
      </c>
      <c r="D5" s="14"/>
      <c r="E5" s="14"/>
      <c r="F5" s="14"/>
      <c r="G5" s="14"/>
      <c r="H5" s="14"/>
      <c r="I5" s="14"/>
      <c r="J5" s="14"/>
      <c r="K5" s="14"/>
      <c r="L5" s="15"/>
      <c r="M5" s="21" t="s">
        <v>423</v>
      </c>
      <c r="N5" s="42" t="s">
        <v>390</v>
      </c>
      <c r="O5" s="14"/>
      <c r="P5" s="14"/>
      <c r="Q5" s="14"/>
      <c r="R5" s="14"/>
      <c r="S5" s="14"/>
      <c r="T5" s="14"/>
      <c r="U5" s="14"/>
      <c r="V5" s="14"/>
      <c r="W5" s="15"/>
    </row>
    <row r="6" ht="30.75" customHeight="1">
      <c r="A6" s="17"/>
      <c r="B6" s="17"/>
      <c r="C6" s="13" t="s">
        <v>391</v>
      </c>
      <c r="D6" s="15"/>
      <c r="E6" s="13" t="s">
        <v>392</v>
      </c>
      <c r="F6" s="15"/>
      <c r="G6" s="13" t="s">
        <v>425</v>
      </c>
      <c r="H6" s="15"/>
      <c r="I6" s="13" t="s">
        <v>394</v>
      </c>
      <c r="J6" s="15"/>
      <c r="K6" s="13" t="s">
        <v>170</v>
      </c>
      <c r="L6" s="15"/>
      <c r="M6" s="17"/>
      <c r="N6" s="13" t="s">
        <v>391</v>
      </c>
      <c r="O6" s="15"/>
      <c r="P6" s="13" t="s">
        <v>392</v>
      </c>
      <c r="Q6" s="15"/>
      <c r="R6" s="13" t="s">
        <v>425</v>
      </c>
      <c r="S6" s="15"/>
      <c r="T6" s="13" t="s">
        <v>394</v>
      </c>
      <c r="U6" s="15"/>
      <c r="V6" s="13" t="s">
        <v>170</v>
      </c>
      <c r="W6" s="15"/>
    </row>
    <row r="7">
      <c r="A7" s="18"/>
      <c r="B7" s="18"/>
      <c r="C7" s="24" t="s">
        <v>37</v>
      </c>
      <c r="D7" s="24" t="s">
        <v>39</v>
      </c>
      <c r="E7" s="24" t="s">
        <v>37</v>
      </c>
      <c r="F7" s="24" t="s">
        <v>39</v>
      </c>
      <c r="G7" s="24" t="s">
        <v>37</v>
      </c>
      <c r="H7" s="24" t="s">
        <v>39</v>
      </c>
      <c r="I7" s="24" t="s">
        <v>37</v>
      </c>
      <c r="J7" s="24" t="s">
        <v>39</v>
      </c>
      <c r="K7" s="24" t="s">
        <v>37</v>
      </c>
      <c r="L7" s="24" t="s">
        <v>39</v>
      </c>
      <c r="M7" s="18"/>
      <c r="N7" s="24" t="s">
        <v>37</v>
      </c>
      <c r="O7" s="24" t="s">
        <v>39</v>
      </c>
      <c r="P7" s="24" t="s">
        <v>37</v>
      </c>
      <c r="Q7" s="24" t="s">
        <v>39</v>
      </c>
      <c r="R7" s="24" t="s">
        <v>37</v>
      </c>
      <c r="S7" s="24" t="s">
        <v>39</v>
      </c>
      <c r="T7" s="24" t="s">
        <v>37</v>
      </c>
      <c r="U7" s="24" t="s">
        <v>39</v>
      </c>
      <c r="V7" s="24" t="s">
        <v>37</v>
      </c>
      <c r="W7" s="24" t="s">
        <v>39</v>
      </c>
    </row>
    <row r="8">
      <c r="A8" s="16"/>
      <c r="B8" s="16"/>
      <c r="C8" s="16"/>
      <c r="D8" s="16"/>
      <c r="E8" s="16"/>
      <c r="F8" s="16"/>
      <c r="G8" s="16"/>
      <c r="H8" s="16"/>
      <c r="I8" s="16"/>
      <c r="J8" s="16"/>
      <c r="K8" s="16"/>
      <c r="L8" s="16"/>
      <c r="M8" s="20"/>
      <c r="N8" s="20"/>
      <c r="O8" s="20"/>
      <c r="P8" s="20"/>
      <c r="Q8" s="20"/>
      <c r="R8" s="20"/>
      <c r="S8" s="20"/>
      <c r="T8" s="20"/>
      <c r="U8" s="20"/>
      <c r="V8" s="20"/>
      <c r="W8" s="20"/>
    </row>
    <row r="9">
      <c r="A9" s="22" t="s">
        <v>33</v>
      </c>
      <c r="B9" s="23">
        <f>'iC21&amp;E23&amp;26'!C9</f>
        <v>5000645</v>
      </c>
      <c r="C9" s="23">
        <v>1315995.0894519999</v>
      </c>
      <c r="D9" s="27">
        <f t="shared" ref="D9:D26" si="1">C9/$B9*100</f>
        <v>26.31650696</v>
      </c>
      <c r="E9" s="23">
        <v>2741450.6714509996</v>
      </c>
      <c r="F9" s="27">
        <f t="shared" ref="F9:F26" si="2">E9/$B9*100</f>
        <v>54.8219414</v>
      </c>
      <c r="G9" s="27">
        <v>440362.094618</v>
      </c>
      <c r="H9" s="27">
        <f t="shared" ref="H9:H26" si="3">G9/$B9*100</f>
        <v>8.806105905</v>
      </c>
      <c r="I9" s="27">
        <v>1592147.2494499998</v>
      </c>
      <c r="J9" s="27">
        <f t="shared" ref="J9:J26" si="4">I9/$B9*100</f>
        <v>31.83883778</v>
      </c>
      <c r="K9" s="23">
        <v>14735.49307</v>
      </c>
      <c r="L9" s="27">
        <f t="shared" ref="L9:L26" si="5">K9/$B9*100</f>
        <v>0.2946718487</v>
      </c>
      <c r="M9" s="23">
        <v>2.2569267E7</v>
      </c>
      <c r="N9" s="23">
        <v>8347817.0</v>
      </c>
      <c r="O9" s="27">
        <f t="shared" ref="O9:O26" si="6">N9/$M9*100</f>
        <v>36.98754151</v>
      </c>
      <c r="P9" s="23">
        <v>1.3517598E7</v>
      </c>
      <c r="Q9" s="27">
        <f t="shared" ref="Q9:Q26" si="7">P9/$M9*100</f>
        <v>59.89382819</v>
      </c>
      <c r="R9" s="27">
        <v>4032267.0</v>
      </c>
      <c r="S9" s="27">
        <f t="shared" ref="S9:S26" si="8">R9/$M9*100</f>
        <v>17.86618502</v>
      </c>
      <c r="T9" s="27">
        <v>6258666.0</v>
      </c>
      <c r="U9" s="27">
        <f t="shared" ref="U9:U26" si="9">T9/$M9*100</f>
        <v>27.73092276</v>
      </c>
      <c r="V9" s="23">
        <v>871561.0</v>
      </c>
      <c r="W9" s="27">
        <f t="shared" ref="W9:W26" si="10">V9/$M9*100</f>
        <v>3.861716023</v>
      </c>
    </row>
    <row r="10">
      <c r="A10" s="25" t="s">
        <v>38</v>
      </c>
      <c r="B10" s="26">
        <f>'iC21&amp;E23&amp;26'!C10</f>
        <v>1217080</v>
      </c>
      <c r="C10" s="26">
        <v>230358.51366</v>
      </c>
      <c r="D10" s="31">
        <f t="shared" si="1"/>
        <v>18.92714642</v>
      </c>
      <c r="E10" s="26">
        <v>776869.8286199998</v>
      </c>
      <c r="F10" s="31">
        <f t="shared" si="2"/>
        <v>63.83062975</v>
      </c>
      <c r="G10" s="31">
        <v>30751.22114</v>
      </c>
      <c r="H10" s="31">
        <f t="shared" si="3"/>
        <v>2.526639263</v>
      </c>
      <c r="I10" s="31">
        <v>350205.40397</v>
      </c>
      <c r="J10" s="31">
        <f t="shared" si="4"/>
        <v>28.77423045</v>
      </c>
      <c r="K10" s="26">
        <v>0.0</v>
      </c>
      <c r="L10" s="31">
        <f t="shared" si="5"/>
        <v>0</v>
      </c>
      <c r="M10" s="26">
        <v>4037772.0</v>
      </c>
      <c r="N10" s="26">
        <v>1760304.0</v>
      </c>
      <c r="O10" s="31">
        <f t="shared" si="6"/>
        <v>43.59592369</v>
      </c>
      <c r="P10" s="26">
        <v>2985865.0</v>
      </c>
      <c r="Q10" s="31">
        <f t="shared" si="7"/>
        <v>73.94833091</v>
      </c>
      <c r="R10" s="31">
        <v>974331.0</v>
      </c>
      <c r="S10" s="31">
        <f t="shared" si="8"/>
        <v>24.13041152</v>
      </c>
      <c r="T10" s="31">
        <v>1223963.0</v>
      </c>
      <c r="U10" s="31">
        <f t="shared" si="9"/>
        <v>30.31283094</v>
      </c>
      <c r="V10" s="26">
        <v>24610.0</v>
      </c>
      <c r="W10" s="31">
        <f t="shared" si="10"/>
        <v>0.609494543</v>
      </c>
    </row>
    <row r="11">
      <c r="A11" s="25" t="s">
        <v>41</v>
      </c>
      <c r="B11" s="26">
        <f>'iC21&amp;E23&amp;26'!C11</f>
        <v>94428</v>
      </c>
      <c r="C11" s="26">
        <v>29661.45897</v>
      </c>
      <c r="D11" s="31">
        <f t="shared" si="1"/>
        <v>31.41172001</v>
      </c>
      <c r="E11" s="26">
        <v>16897.92267</v>
      </c>
      <c r="F11" s="31">
        <f t="shared" si="2"/>
        <v>17.89503396</v>
      </c>
      <c r="G11" s="31">
        <v>2295.74327</v>
      </c>
      <c r="H11" s="31">
        <f t="shared" si="3"/>
        <v>2.431210308</v>
      </c>
      <c r="I11" s="31">
        <v>62137.46056200001</v>
      </c>
      <c r="J11" s="31">
        <f t="shared" si="4"/>
        <v>65.80406295</v>
      </c>
      <c r="K11" s="26">
        <v>2429.56878</v>
      </c>
      <c r="L11" s="31">
        <f t="shared" si="5"/>
        <v>2.572932584</v>
      </c>
      <c r="M11" s="26">
        <v>328975.0</v>
      </c>
      <c r="N11" s="26">
        <v>179399.0</v>
      </c>
      <c r="O11" s="31">
        <f t="shared" si="6"/>
        <v>54.53271525</v>
      </c>
      <c r="P11" s="26">
        <v>176372.0</v>
      </c>
      <c r="Q11" s="31">
        <f t="shared" si="7"/>
        <v>53.61258454</v>
      </c>
      <c r="R11" s="31">
        <v>74117.0</v>
      </c>
      <c r="S11" s="31">
        <f t="shared" si="8"/>
        <v>22.52967551</v>
      </c>
      <c r="T11" s="31">
        <v>141830.0</v>
      </c>
      <c r="U11" s="31">
        <f t="shared" si="9"/>
        <v>43.11269853</v>
      </c>
      <c r="V11" s="26">
        <v>1604.0</v>
      </c>
      <c r="W11" s="31">
        <f t="shared" si="10"/>
        <v>0.4875750437</v>
      </c>
    </row>
    <row r="12">
      <c r="A12" s="25" t="s">
        <v>43</v>
      </c>
      <c r="B12" s="26">
        <f>'iC21&amp;E23&amp;26'!C12</f>
        <v>259922</v>
      </c>
      <c r="C12" s="26">
        <v>32082.794869999998</v>
      </c>
      <c r="D12" s="31">
        <f t="shared" si="1"/>
        <v>12.34323946</v>
      </c>
      <c r="E12" s="26">
        <v>126072.18255000003</v>
      </c>
      <c r="F12" s="31">
        <f t="shared" si="2"/>
        <v>48.50385214</v>
      </c>
      <c r="G12" s="31">
        <v>11967.450499999999</v>
      </c>
      <c r="H12" s="31">
        <f t="shared" si="3"/>
        <v>4.604246851</v>
      </c>
      <c r="I12" s="31">
        <v>46488.14874999999</v>
      </c>
      <c r="J12" s="31">
        <f t="shared" si="4"/>
        <v>17.88542284</v>
      </c>
      <c r="K12" s="26">
        <v>488.64999</v>
      </c>
      <c r="L12" s="31">
        <f t="shared" si="5"/>
        <v>0.1879987035</v>
      </c>
      <c r="M12" s="26">
        <v>1189891.0</v>
      </c>
      <c r="N12" s="26">
        <v>287689.0</v>
      </c>
      <c r="O12" s="31">
        <f t="shared" si="6"/>
        <v>24.17776082</v>
      </c>
      <c r="P12" s="26">
        <v>781329.0</v>
      </c>
      <c r="Q12" s="31">
        <f t="shared" si="7"/>
        <v>65.66391375</v>
      </c>
      <c r="R12" s="31">
        <v>77228.0</v>
      </c>
      <c r="S12" s="31">
        <f t="shared" si="8"/>
        <v>6.490342393</v>
      </c>
      <c r="T12" s="31">
        <v>219607.0</v>
      </c>
      <c r="U12" s="31">
        <f t="shared" si="9"/>
        <v>18.45606026</v>
      </c>
      <c r="V12" s="26">
        <v>102210.0</v>
      </c>
      <c r="W12" s="31">
        <f t="shared" si="10"/>
        <v>8.589862433</v>
      </c>
    </row>
    <row r="13">
      <c r="A13" s="25" t="s">
        <v>44</v>
      </c>
      <c r="B13" s="26">
        <f>'iC21&amp;E23&amp;26'!C13</f>
        <v>133794</v>
      </c>
      <c r="C13" s="26">
        <v>10178.614931</v>
      </c>
      <c r="D13" s="31">
        <f t="shared" si="1"/>
        <v>7.607676675</v>
      </c>
      <c r="E13" s="26">
        <v>31020.253999999997</v>
      </c>
      <c r="F13" s="31">
        <f t="shared" si="2"/>
        <v>23.18508603</v>
      </c>
      <c r="G13" s="31">
        <v>1346.133878</v>
      </c>
      <c r="H13" s="31">
        <f t="shared" si="3"/>
        <v>1.006124249</v>
      </c>
      <c r="I13" s="31">
        <v>14607.783406999999</v>
      </c>
      <c r="J13" s="31">
        <f t="shared" si="4"/>
        <v>10.91811547</v>
      </c>
      <c r="K13" s="26">
        <v>0.0</v>
      </c>
      <c r="L13" s="31">
        <f t="shared" si="5"/>
        <v>0</v>
      </c>
      <c r="M13" s="26">
        <v>791574.0</v>
      </c>
      <c r="N13" s="26">
        <v>296110.0</v>
      </c>
      <c r="O13" s="31">
        <f t="shared" si="6"/>
        <v>37.4077471</v>
      </c>
      <c r="P13" s="26">
        <v>468601.0</v>
      </c>
      <c r="Q13" s="31">
        <f t="shared" si="7"/>
        <v>59.19863462</v>
      </c>
      <c r="R13" s="31">
        <v>179653.0</v>
      </c>
      <c r="S13" s="31">
        <f t="shared" si="8"/>
        <v>22.69566711</v>
      </c>
      <c r="T13" s="31">
        <v>200130.0</v>
      </c>
      <c r="U13" s="31">
        <f t="shared" si="9"/>
        <v>25.28253834</v>
      </c>
      <c r="V13" s="26">
        <v>18286.0</v>
      </c>
      <c r="W13" s="31">
        <f t="shared" si="10"/>
        <v>2.310080927</v>
      </c>
    </row>
    <row r="14">
      <c r="A14" s="25" t="s">
        <v>46</v>
      </c>
      <c r="B14" s="26">
        <f>'iC21&amp;E23&amp;26'!C14</f>
        <v>733207</v>
      </c>
      <c r="C14" s="26">
        <v>290482.83508999995</v>
      </c>
      <c r="D14" s="31">
        <f t="shared" si="1"/>
        <v>39.61812082</v>
      </c>
      <c r="E14" s="26">
        <v>560249.50387</v>
      </c>
      <c r="F14" s="31">
        <f t="shared" si="2"/>
        <v>76.41082312</v>
      </c>
      <c r="G14" s="31">
        <v>3632.35999</v>
      </c>
      <c r="H14" s="31">
        <f t="shared" si="3"/>
        <v>0.495407162</v>
      </c>
      <c r="I14" s="31">
        <v>147824.64243</v>
      </c>
      <c r="J14" s="31">
        <f t="shared" si="4"/>
        <v>20.16137904</v>
      </c>
      <c r="K14" s="26">
        <v>0.0</v>
      </c>
      <c r="L14" s="31">
        <f t="shared" si="5"/>
        <v>0</v>
      </c>
      <c r="M14" s="26">
        <v>3838538.0</v>
      </c>
      <c r="N14" s="26">
        <v>1055129.0</v>
      </c>
      <c r="O14" s="31">
        <f t="shared" si="6"/>
        <v>27.48778311</v>
      </c>
      <c r="P14" s="26">
        <v>2440375.0</v>
      </c>
      <c r="Q14" s="31">
        <f t="shared" si="7"/>
        <v>63.57563739</v>
      </c>
      <c r="R14" s="31">
        <v>513514.0</v>
      </c>
      <c r="S14" s="31">
        <f t="shared" si="8"/>
        <v>13.37785376</v>
      </c>
      <c r="T14" s="31">
        <v>1089576.0</v>
      </c>
      <c r="U14" s="31">
        <f t="shared" si="9"/>
        <v>28.38518207</v>
      </c>
      <c r="V14" s="26">
        <v>214693.0</v>
      </c>
      <c r="W14" s="31">
        <f t="shared" si="10"/>
        <v>5.593092995</v>
      </c>
    </row>
    <row r="15">
      <c r="A15" s="25" t="s">
        <v>48</v>
      </c>
      <c r="B15" s="26">
        <f>'iC21&amp;E23&amp;26'!C15</f>
        <v>1344298</v>
      </c>
      <c r="C15" s="26">
        <v>416320.6605</v>
      </c>
      <c r="D15" s="31">
        <f t="shared" si="1"/>
        <v>30.9693729</v>
      </c>
      <c r="E15" s="26">
        <v>692313.1232099999</v>
      </c>
      <c r="F15" s="31">
        <f t="shared" si="2"/>
        <v>51.4999742</v>
      </c>
      <c r="G15" s="31">
        <v>341911.038</v>
      </c>
      <c r="H15" s="31">
        <f t="shared" si="3"/>
        <v>25.43416995</v>
      </c>
      <c r="I15" s="31">
        <v>643989.7717299998</v>
      </c>
      <c r="J15" s="31">
        <f t="shared" si="4"/>
        <v>47.90528378</v>
      </c>
      <c r="K15" s="26">
        <v>8008.5576</v>
      </c>
      <c r="L15" s="31">
        <f t="shared" si="5"/>
        <v>0.5957427297</v>
      </c>
      <c r="M15" s="26">
        <v>4019366.0</v>
      </c>
      <c r="N15" s="26">
        <v>1192771.0</v>
      </c>
      <c r="O15" s="31">
        <f t="shared" si="6"/>
        <v>29.67560058</v>
      </c>
      <c r="P15" s="26">
        <v>2505052.0</v>
      </c>
      <c r="Q15" s="31">
        <f t="shared" si="7"/>
        <v>62.32455566</v>
      </c>
      <c r="R15" s="31">
        <v>884689.0</v>
      </c>
      <c r="S15" s="31">
        <f t="shared" si="8"/>
        <v>22.01066039</v>
      </c>
      <c r="T15" s="31">
        <v>1365645.0</v>
      </c>
      <c r="U15" s="31">
        <f t="shared" si="9"/>
        <v>33.97662716</v>
      </c>
      <c r="V15" s="26">
        <v>91217.0</v>
      </c>
      <c r="W15" s="31">
        <f t="shared" si="10"/>
        <v>2.269437518</v>
      </c>
    </row>
    <row r="16">
      <c r="A16" s="25" t="s">
        <v>50</v>
      </c>
      <c r="B16" s="26">
        <f>'iC21&amp;E23&amp;26'!C16</f>
        <v>126433</v>
      </c>
      <c r="C16" s="26">
        <v>24431.12694</v>
      </c>
      <c r="D16" s="31">
        <f t="shared" si="1"/>
        <v>19.32337834</v>
      </c>
      <c r="E16" s="26">
        <v>50474.19310000001</v>
      </c>
      <c r="F16" s="31">
        <f t="shared" si="2"/>
        <v>39.9216922</v>
      </c>
      <c r="G16" s="31">
        <v>1104.4250499999998</v>
      </c>
      <c r="H16" s="31">
        <f t="shared" si="3"/>
        <v>0.8735259386</v>
      </c>
      <c r="I16" s="31">
        <v>37836.448809999994</v>
      </c>
      <c r="J16" s="31">
        <f t="shared" si="4"/>
        <v>29.92608639</v>
      </c>
      <c r="K16" s="26">
        <v>0.0</v>
      </c>
      <c r="L16" s="31">
        <f t="shared" si="5"/>
        <v>0</v>
      </c>
      <c r="M16" s="26">
        <v>629725.0</v>
      </c>
      <c r="N16" s="26">
        <v>357845.0</v>
      </c>
      <c r="O16" s="31">
        <f t="shared" si="6"/>
        <v>56.82559848</v>
      </c>
      <c r="P16" s="26">
        <v>346404.0</v>
      </c>
      <c r="Q16" s="31">
        <f t="shared" si="7"/>
        <v>55.00877367</v>
      </c>
      <c r="R16" s="31">
        <v>114620.0</v>
      </c>
      <c r="S16" s="31">
        <f t="shared" si="8"/>
        <v>18.20159593</v>
      </c>
      <c r="T16" s="31">
        <v>124277.0</v>
      </c>
      <c r="U16" s="31">
        <f t="shared" si="9"/>
        <v>19.73512247</v>
      </c>
      <c r="V16" s="26">
        <v>5161.0</v>
      </c>
      <c r="W16" s="31">
        <f t="shared" si="10"/>
        <v>0.8195640954</v>
      </c>
    </row>
    <row r="17">
      <c r="A17" s="25" t="s">
        <v>51</v>
      </c>
      <c r="B17" s="26">
        <f>'iC21&amp;E23&amp;26'!C17</f>
        <v>140889</v>
      </c>
      <c r="C17" s="26">
        <v>58706.76145999999</v>
      </c>
      <c r="D17" s="31">
        <f t="shared" si="1"/>
        <v>41.66880414</v>
      </c>
      <c r="E17" s="26">
        <v>77734.87468000001</v>
      </c>
      <c r="F17" s="31">
        <f t="shared" si="2"/>
        <v>55.17455208</v>
      </c>
      <c r="G17" s="31">
        <v>394.92999</v>
      </c>
      <c r="H17" s="31">
        <f t="shared" si="3"/>
        <v>0.2803128633</v>
      </c>
      <c r="I17" s="31">
        <v>66380.49037</v>
      </c>
      <c r="J17" s="31">
        <f t="shared" si="4"/>
        <v>47.11545285</v>
      </c>
      <c r="K17" s="26">
        <v>2533.5684</v>
      </c>
      <c r="L17" s="31">
        <f t="shared" si="5"/>
        <v>1.798272683</v>
      </c>
      <c r="M17" s="26">
        <v>1381518.0</v>
      </c>
      <c r="N17" s="26">
        <v>598358.0</v>
      </c>
      <c r="O17" s="31">
        <f t="shared" si="6"/>
        <v>43.31163257</v>
      </c>
      <c r="P17" s="26">
        <v>679867.0</v>
      </c>
      <c r="Q17" s="31">
        <f t="shared" si="7"/>
        <v>49.21159189</v>
      </c>
      <c r="R17" s="31">
        <v>143478.0</v>
      </c>
      <c r="S17" s="31">
        <f t="shared" si="8"/>
        <v>10.38553244</v>
      </c>
      <c r="T17" s="31">
        <v>264854.0</v>
      </c>
      <c r="U17" s="31">
        <f t="shared" si="9"/>
        <v>19.17123049</v>
      </c>
      <c r="V17" s="26">
        <v>109392.0</v>
      </c>
      <c r="W17" s="31">
        <f t="shared" si="10"/>
        <v>7.918246451</v>
      </c>
    </row>
    <row r="18">
      <c r="A18" s="25" t="s">
        <v>53</v>
      </c>
      <c r="B18" s="26">
        <f>'iC21&amp;E23&amp;26'!C18</f>
        <v>223092</v>
      </c>
      <c r="C18" s="26">
        <v>49012.800890000006</v>
      </c>
      <c r="D18" s="31">
        <f t="shared" si="1"/>
        <v>21.96977072</v>
      </c>
      <c r="E18" s="26">
        <v>68694.69295</v>
      </c>
      <c r="F18" s="31">
        <f t="shared" si="2"/>
        <v>30.79209158</v>
      </c>
      <c r="G18" s="31">
        <v>4655.72573</v>
      </c>
      <c r="H18" s="31">
        <f t="shared" si="3"/>
        <v>2.086908419</v>
      </c>
      <c r="I18" s="31">
        <v>42333.61767</v>
      </c>
      <c r="J18" s="31">
        <f t="shared" si="4"/>
        <v>18.97585645</v>
      </c>
      <c r="K18" s="26">
        <v>1275.1483</v>
      </c>
      <c r="L18" s="31">
        <f t="shared" si="5"/>
        <v>0.5715795726</v>
      </c>
      <c r="M18" s="26">
        <v>1374053.0</v>
      </c>
      <c r="N18" s="26">
        <v>893913.0</v>
      </c>
      <c r="O18" s="31">
        <f t="shared" si="6"/>
        <v>65.05666084</v>
      </c>
      <c r="P18" s="26">
        <v>501950.0</v>
      </c>
      <c r="Q18" s="31">
        <f t="shared" si="7"/>
        <v>36.53061418</v>
      </c>
      <c r="R18" s="31">
        <v>126061.0</v>
      </c>
      <c r="S18" s="31">
        <f t="shared" si="8"/>
        <v>9.174391381</v>
      </c>
      <c r="T18" s="31">
        <v>276770.0</v>
      </c>
      <c r="U18" s="31">
        <f t="shared" si="9"/>
        <v>20.14260003</v>
      </c>
      <c r="V18" s="26">
        <v>24788.0</v>
      </c>
      <c r="W18" s="31">
        <f t="shared" si="10"/>
        <v>1.804006105</v>
      </c>
    </row>
    <row r="19">
      <c r="A19" s="25" t="s">
        <v>54</v>
      </c>
      <c r="B19" s="26">
        <f>'iC21&amp;E23&amp;26'!C19</f>
        <v>167413</v>
      </c>
      <c r="C19" s="26">
        <v>37983.281599999995</v>
      </c>
      <c r="D19" s="31">
        <f t="shared" si="1"/>
        <v>22.68837044</v>
      </c>
      <c r="E19" s="26">
        <v>122581.84900999993</v>
      </c>
      <c r="F19" s="31">
        <f t="shared" si="2"/>
        <v>73.22122476</v>
      </c>
      <c r="G19" s="31">
        <v>3352.8503600000004</v>
      </c>
      <c r="H19" s="31">
        <f t="shared" si="3"/>
        <v>2.002741938</v>
      </c>
      <c r="I19" s="31">
        <v>29044.42081</v>
      </c>
      <c r="J19" s="31">
        <f t="shared" si="4"/>
        <v>17.34896383</v>
      </c>
      <c r="K19" s="26">
        <v>0.0</v>
      </c>
      <c r="L19" s="31">
        <f t="shared" si="5"/>
        <v>0</v>
      </c>
      <c r="M19" s="26">
        <v>1497769.0</v>
      </c>
      <c r="N19" s="26">
        <v>494592.0</v>
      </c>
      <c r="O19" s="31">
        <f t="shared" si="6"/>
        <v>33.02191459</v>
      </c>
      <c r="P19" s="26">
        <v>784977.0</v>
      </c>
      <c r="Q19" s="31">
        <f t="shared" si="7"/>
        <v>52.40975077</v>
      </c>
      <c r="R19" s="31">
        <v>455628.0</v>
      </c>
      <c r="S19" s="31">
        <f t="shared" si="8"/>
        <v>30.42044534</v>
      </c>
      <c r="T19" s="31">
        <v>310030.0</v>
      </c>
      <c r="U19" s="31">
        <f t="shared" si="9"/>
        <v>20.69945365</v>
      </c>
      <c r="V19" s="26">
        <v>104353.0</v>
      </c>
      <c r="W19" s="31">
        <f t="shared" si="10"/>
        <v>6.967229259</v>
      </c>
    </row>
    <row r="20">
      <c r="A20" s="25" t="s">
        <v>56</v>
      </c>
      <c r="B20" s="26">
        <f>'iC21&amp;E23&amp;26'!C20</f>
        <v>155309</v>
      </c>
      <c r="C20" s="26">
        <v>46664.825640999996</v>
      </c>
      <c r="D20" s="31">
        <f t="shared" si="1"/>
        <v>30.04644009</v>
      </c>
      <c r="E20" s="26">
        <v>52638.29444099998</v>
      </c>
      <c r="F20" s="31">
        <f t="shared" si="2"/>
        <v>33.89262338</v>
      </c>
      <c r="G20" s="31">
        <v>3394.90924</v>
      </c>
      <c r="H20" s="31">
        <f t="shared" si="3"/>
        <v>2.185906316</v>
      </c>
      <c r="I20" s="31">
        <v>31729.061981000006</v>
      </c>
      <c r="J20" s="31">
        <f t="shared" si="4"/>
        <v>20.4296351</v>
      </c>
      <c r="K20" s="26">
        <v>0.0</v>
      </c>
      <c r="L20" s="31">
        <f t="shared" si="5"/>
        <v>0</v>
      </c>
      <c r="M20" s="26">
        <v>811117.0</v>
      </c>
      <c r="N20" s="26">
        <v>288329.0</v>
      </c>
      <c r="O20" s="31">
        <f t="shared" si="6"/>
        <v>35.54715288</v>
      </c>
      <c r="P20" s="26">
        <v>474648.0</v>
      </c>
      <c r="Q20" s="31">
        <f t="shared" si="7"/>
        <v>58.51782172</v>
      </c>
      <c r="R20" s="31">
        <v>143704.0</v>
      </c>
      <c r="S20" s="31">
        <f t="shared" si="8"/>
        <v>17.71680288</v>
      </c>
      <c r="T20" s="31">
        <v>154220.0</v>
      </c>
      <c r="U20" s="31">
        <f t="shared" si="9"/>
        <v>19.01328662</v>
      </c>
      <c r="V20" s="26">
        <v>6792.0</v>
      </c>
      <c r="W20" s="31">
        <f t="shared" si="10"/>
        <v>0.8373637835</v>
      </c>
    </row>
    <row r="21" ht="15.75" customHeight="1">
      <c r="A21" s="25" t="s">
        <v>57</v>
      </c>
      <c r="B21" s="26">
        <f>'iC21&amp;E23&amp;26'!C21</f>
        <v>58054</v>
      </c>
      <c r="C21" s="26">
        <v>10138.800439999999</v>
      </c>
      <c r="D21" s="31">
        <f t="shared" si="1"/>
        <v>17.46443043</v>
      </c>
      <c r="E21" s="26">
        <v>31974.80124</v>
      </c>
      <c r="F21" s="31">
        <f t="shared" si="2"/>
        <v>55.07768843</v>
      </c>
      <c r="G21" s="31">
        <v>3844.0208</v>
      </c>
      <c r="H21" s="31">
        <f t="shared" si="3"/>
        <v>6.621457264</v>
      </c>
      <c r="I21" s="31">
        <v>13434.410559999998</v>
      </c>
      <c r="J21" s="31">
        <f t="shared" si="4"/>
        <v>23.14123154</v>
      </c>
      <c r="K21" s="26">
        <v>0.0</v>
      </c>
      <c r="L21" s="31">
        <f t="shared" si="5"/>
        <v>0</v>
      </c>
      <c r="M21" s="26">
        <v>262432.0</v>
      </c>
      <c r="N21" s="26">
        <v>95950.0</v>
      </c>
      <c r="O21" s="31">
        <f t="shared" si="6"/>
        <v>36.56185221</v>
      </c>
      <c r="P21" s="26">
        <v>129243.0</v>
      </c>
      <c r="Q21" s="31">
        <f t="shared" si="7"/>
        <v>49.2481862</v>
      </c>
      <c r="R21" s="31">
        <v>21828.0</v>
      </c>
      <c r="S21" s="31">
        <f t="shared" si="8"/>
        <v>8.317583222</v>
      </c>
      <c r="T21" s="31">
        <v>117079.0</v>
      </c>
      <c r="U21" s="31">
        <f t="shared" si="9"/>
        <v>44.61308072</v>
      </c>
      <c r="V21" s="26">
        <v>4801.0</v>
      </c>
      <c r="W21" s="31">
        <f t="shared" si="10"/>
        <v>1.829426289</v>
      </c>
    </row>
    <row r="22" ht="15.75" customHeight="1">
      <c r="A22" s="25" t="s">
        <v>59</v>
      </c>
      <c r="B22" s="26">
        <f>'iC21&amp;E23&amp;26'!C22</f>
        <v>55371</v>
      </c>
      <c r="C22" s="26">
        <v>19934.6718</v>
      </c>
      <c r="D22" s="31">
        <f t="shared" si="1"/>
        <v>36.00200791</v>
      </c>
      <c r="E22" s="26">
        <v>19794.99933</v>
      </c>
      <c r="F22" s="31">
        <f t="shared" si="2"/>
        <v>35.7497595</v>
      </c>
      <c r="G22" s="31">
        <v>857.20097</v>
      </c>
      <c r="H22" s="31">
        <f t="shared" si="3"/>
        <v>1.548104549</v>
      </c>
      <c r="I22" s="31">
        <v>13507.791</v>
      </c>
      <c r="J22" s="31">
        <f t="shared" si="4"/>
        <v>24.3950642</v>
      </c>
      <c r="K22" s="26">
        <v>0.0</v>
      </c>
      <c r="L22" s="31">
        <f t="shared" si="5"/>
        <v>0</v>
      </c>
      <c r="M22" s="26">
        <v>674428.0</v>
      </c>
      <c r="N22" s="26">
        <v>203050.0</v>
      </c>
      <c r="O22" s="31">
        <f t="shared" si="6"/>
        <v>30.10699437</v>
      </c>
      <c r="P22" s="26">
        <v>382063.0</v>
      </c>
      <c r="Q22" s="31">
        <f t="shared" si="7"/>
        <v>56.6499315</v>
      </c>
      <c r="R22" s="31">
        <v>55423.0</v>
      </c>
      <c r="S22" s="31">
        <f t="shared" si="8"/>
        <v>8.217778621</v>
      </c>
      <c r="T22" s="31">
        <v>154840.0</v>
      </c>
      <c r="U22" s="31">
        <f t="shared" si="9"/>
        <v>22.95871464</v>
      </c>
      <c r="V22" s="26">
        <v>77396.0</v>
      </c>
      <c r="W22" s="31">
        <f t="shared" si="10"/>
        <v>11.47579875</v>
      </c>
    </row>
    <row r="23" ht="15.75" customHeight="1">
      <c r="A23" s="25" t="s">
        <v>60</v>
      </c>
      <c r="B23" s="26">
        <f>'iC21&amp;E23&amp;26'!C23</f>
        <v>93572</v>
      </c>
      <c r="C23" s="26">
        <v>18636.316</v>
      </c>
      <c r="D23" s="31">
        <f t="shared" si="1"/>
        <v>19.91655196</v>
      </c>
      <c r="E23" s="26">
        <v>38646.45841000001</v>
      </c>
      <c r="F23" s="31">
        <f t="shared" si="2"/>
        <v>41.30130638</v>
      </c>
      <c r="G23" s="31">
        <v>20323.777570000002</v>
      </c>
      <c r="H23" s="31">
        <f t="shared" si="3"/>
        <v>21.71993499</v>
      </c>
      <c r="I23" s="31">
        <v>30271.647719999997</v>
      </c>
      <c r="J23" s="31">
        <f t="shared" si="4"/>
        <v>32.35118168</v>
      </c>
      <c r="K23" s="26">
        <v>0.0</v>
      </c>
      <c r="L23" s="31">
        <f t="shared" si="5"/>
        <v>0</v>
      </c>
      <c r="M23" s="26">
        <v>462806.0</v>
      </c>
      <c r="N23" s="26">
        <v>217050.0</v>
      </c>
      <c r="O23" s="31">
        <f t="shared" si="6"/>
        <v>46.89870054</v>
      </c>
      <c r="P23" s="26">
        <v>193996.0</v>
      </c>
      <c r="Q23" s="31">
        <f t="shared" si="7"/>
        <v>41.91734766</v>
      </c>
      <c r="R23" s="31">
        <v>57831.0</v>
      </c>
      <c r="S23" s="31">
        <f t="shared" si="8"/>
        <v>12.49573255</v>
      </c>
      <c r="T23" s="31">
        <v>239161.0</v>
      </c>
      <c r="U23" s="31">
        <f t="shared" si="9"/>
        <v>51.67629633</v>
      </c>
      <c r="V23" s="26">
        <v>1863.0</v>
      </c>
      <c r="W23" s="31">
        <f t="shared" si="10"/>
        <v>0.4025444787</v>
      </c>
    </row>
    <row r="24" ht="15.75" customHeight="1">
      <c r="A24" s="25" t="s">
        <v>63</v>
      </c>
      <c r="B24" s="26">
        <f>'iC21&amp;E23&amp;26'!C24</f>
        <v>140430</v>
      </c>
      <c r="C24" s="26">
        <v>34435.75445</v>
      </c>
      <c r="D24" s="31">
        <f t="shared" si="1"/>
        <v>24.52165096</v>
      </c>
      <c r="E24" s="26">
        <v>66201.27996000001</v>
      </c>
      <c r="F24" s="31">
        <f t="shared" si="2"/>
        <v>47.14183576</v>
      </c>
      <c r="G24" s="31">
        <v>10061.36813</v>
      </c>
      <c r="H24" s="31">
        <f t="shared" si="3"/>
        <v>7.164685701</v>
      </c>
      <c r="I24" s="31">
        <v>54169.676449999984</v>
      </c>
      <c r="J24" s="31">
        <f t="shared" si="4"/>
        <v>38.57414829</v>
      </c>
      <c r="K24" s="26">
        <v>0.0</v>
      </c>
      <c r="L24" s="31">
        <f t="shared" si="5"/>
        <v>0</v>
      </c>
      <c r="M24" s="26">
        <v>661052.0</v>
      </c>
      <c r="N24" s="26">
        <v>221698.0</v>
      </c>
      <c r="O24" s="31">
        <f t="shared" si="6"/>
        <v>33.53714988</v>
      </c>
      <c r="P24" s="26">
        <v>409550.0</v>
      </c>
      <c r="Q24" s="31">
        <f t="shared" si="7"/>
        <v>61.95427894</v>
      </c>
      <c r="R24" s="31">
        <v>87489.0</v>
      </c>
      <c r="S24" s="31">
        <f t="shared" si="8"/>
        <v>13.2348136</v>
      </c>
      <c r="T24" s="31">
        <v>195777.0</v>
      </c>
      <c r="U24" s="31">
        <f t="shared" si="9"/>
        <v>29.61597575</v>
      </c>
      <c r="V24" s="26">
        <v>16287.0</v>
      </c>
      <c r="W24" s="31">
        <f t="shared" si="10"/>
        <v>2.463800125</v>
      </c>
    </row>
    <row r="25" ht="15.75" customHeight="1">
      <c r="A25" s="25" t="s">
        <v>64</v>
      </c>
      <c r="B25" s="26">
        <f>'iC21&amp;E23&amp;26'!C25</f>
        <v>46686</v>
      </c>
      <c r="C25" s="26">
        <v>6697.196400000001</v>
      </c>
      <c r="D25" s="31">
        <f t="shared" si="1"/>
        <v>14.34519213</v>
      </c>
      <c r="E25" s="26">
        <v>8316.62819</v>
      </c>
      <c r="F25" s="31">
        <f t="shared" si="2"/>
        <v>17.81396605</v>
      </c>
      <c r="G25" s="31">
        <v>468.94</v>
      </c>
      <c r="H25" s="31">
        <f t="shared" si="3"/>
        <v>1.004455297</v>
      </c>
      <c r="I25" s="31">
        <v>5118.992209999999</v>
      </c>
      <c r="J25" s="31">
        <f t="shared" si="4"/>
        <v>10.96472649</v>
      </c>
      <c r="K25" s="26">
        <v>0.0</v>
      </c>
      <c r="L25" s="31">
        <f t="shared" si="5"/>
        <v>0</v>
      </c>
      <c r="M25" s="26">
        <v>425995.0</v>
      </c>
      <c r="N25" s="26">
        <v>157323.0</v>
      </c>
      <c r="O25" s="31">
        <f t="shared" si="6"/>
        <v>36.93071515</v>
      </c>
      <c r="P25" s="26">
        <v>180929.0</v>
      </c>
      <c r="Q25" s="31">
        <f t="shared" si="7"/>
        <v>42.47209474</v>
      </c>
      <c r="R25" s="31">
        <v>96897.0</v>
      </c>
      <c r="S25" s="31">
        <f t="shared" si="8"/>
        <v>22.74604162</v>
      </c>
      <c r="T25" s="31">
        <v>139186.0</v>
      </c>
      <c r="U25" s="31">
        <f t="shared" si="9"/>
        <v>32.67315344</v>
      </c>
      <c r="V25" s="26">
        <v>18082.0</v>
      </c>
      <c r="W25" s="31">
        <f t="shared" si="10"/>
        <v>4.244650759</v>
      </c>
    </row>
    <row r="26" ht="15.75" customHeight="1">
      <c r="A26" s="25" t="s">
        <v>65</v>
      </c>
      <c r="B26" s="26">
        <f>'iC21&amp;E23&amp;26'!C26</f>
        <v>10666</v>
      </c>
      <c r="C26" s="26">
        <v>268.67581</v>
      </c>
      <c r="D26" s="31">
        <f t="shared" si="1"/>
        <v>2.518993156</v>
      </c>
      <c r="E26" s="26">
        <v>969.78522</v>
      </c>
      <c r="F26" s="31">
        <f t="shared" si="2"/>
        <v>9.092304707</v>
      </c>
      <c r="G26" s="31">
        <v>0.0</v>
      </c>
      <c r="H26" s="31">
        <f t="shared" si="3"/>
        <v>0</v>
      </c>
      <c r="I26" s="31">
        <v>3067.48102</v>
      </c>
      <c r="J26" s="31">
        <f t="shared" si="4"/>
        <v>28.75943203</v>
      </c>
      <c r="K26" s="26">
        <v>0.0</v>
      </c>
      <c r="L26" s="31">
        <f t="shared" si="5"/>
        <v>0</v>
      </c>
      <c r="M26" s="26">
        <v>182257.0</v>
      </c>
      <c r="N26" s="26">
        <v>48306.0</v>
      </c>
      <c r="O26" s="31">
        <f t="shared" si="6"/>
        <v>26.5043318</v>
      </c>
      <c r="P26" s="26">
        <v>76377.0</v>
      </c>
      <c r="Q26" s="31">
        <f t="shared" si="7"/>
        <v>41.90620936</v>
      </c>
      <c r="R26" s="31">
        <v>25776.0</v>
      </c>
      <c r="S26" s="31">
        <f t="shared" si="8"/>
        <v>14.14266667</v>
      </c>
      <c r="T26" s="31">
        <v>41720.0</v>
      </c>
      <c r="U26" s="31">
        <f t="shared" si="9"/>
        <v>22.89075317</v>
      </c>
      <c r="V26" s="26">
        <v>50024.0</v>
      </c>
      <c r="W26" s="31">
        <f t="shared" si="10"/>
        <v>27.44695677</v>
      </c>
    </row>
    <row r="27" ht="15.75" customHeight="1">
      <c r="A27" s="28"/>
      <c r="B27" s="28"/>
      <c r="C27" s="28"/>
      <c r="D27" s="28"/>
      <c r="E27" s="28"/>
      <c r="F27" s="28"/>
      <c r="G27" s="28"/>
      <c r="H27" s="28"/>
      <c r="I27" s="28"/>
      <c r="J27" s="28"/>
      <c r="K27" s="28"/>
      <c r="L27" s="28"/>
      <c r="M27" s="28"/>
      <c r="N27" s="28"/>
      <c r="O27" s="28"/>
      <c r="P27" s="28"/>
      <c r="Q27" s="28"/>
      <c r="R27" s="28"/>
      <c r="S27" s="28"/>
      <c r="T27" s="28"/>
      <c r="U27" s="28"/>
      <c r="V27" s="28"/>
      <c r="W27" s="28"/>
    </row>
    <row r="28" ht="15.75" customHeight="1">
      <c r="A28" s="9"/>
      <c r="B28" s="9"/>
      <c r="C28" s="9"/>
      <c r="D28" s="9"/>
      <c r="E28" s="9"/>
      <c r="F28" s="9"/>
      <c r="G28" s="9"/>
      <c r="H28" s="9"/>
      <c r="I28" s="9"/>
      <c r="J28" s="9"/>
      <c r="K28" s="9"/>
      <c r="L28" s="9"/>
      <c r="M28" s="9"/>
      <c r="N28" s="9"/>
      <c r="O28" s="9"/>
      <c r="P28" s="9"/>
      <c r="Q28" s="9"/>
      <c r="R28" s="9"/>
      <c r="S28" s="9"/>
      <c r="T28" s="9"/>
      <c r="U28" s="9"/>
      <c r="V28" s="9"/>
      <c r="W28" s="9"/>
    </row>
    <row r="29" ht="15.75" customHeight="1">
      <c r="A29" s="29" t="s">
        <v>69</v>
      </c>
      <c r="B29" s="29"/>
      <c r="C29" s="29"/>
      <c r="D29" s="29"/>
      <c r="E29" s="29"/>
      <c r="F29" s="29"/>
      <c r="G29" s="29"/>
      <c r="H29" s="29"/>
      <c r="I29" s="29"/>
      <c r="J29" s="29"/>
      <c r="K29" s="29"/>
      <c r="L29" s="29"/>
      <c r="M29" s="29"/>
      <c r="N29" s="29"/>
      <c r="O29" s="29"/>
      <c r="P29" s="29"/>
      <c r="Q29" s="29"/>
      <c r="R29" s="29"/>
      <c r="S29" s="29"/>
      <c r="T29" s="29"/>
      <c r="U29" s="29"/>
      <c r="V29" s="29"/>
      <c r="W29" s="29"/>
    </row>
    <row r="30" ht="15.75" customHeight="1">
      <c r="A30" s="29" t="s">
        <v>72</v>
      </c>
      <c r="B30" s="29"/>
      <c r="C30" s="29"/>
      <c r="D30" s="29"/>
      <c r="E30" s="29"/>
      <c r="F30" s="29"/>
      <c r="G30" s="29"/>
      <c r="H30" s="29"/>
      <c r="I30" s="29"/>
      <c r="J30" s="29"/>
      <c r="K30" s="29"/>
      <c r="L30" s="29"/>
      <c r="M30" s="29"/>
      <c r="N30" s="29"/>
      <c r="O30" s="29"/>
      <c r="P30" s="29"/>
      <c r="Q30" s="29"/>
      <c r="R30" s="29"/>
      <c r="S30" s="29"/>
      <c r="T30" s="29"/>
      <c r="U30" s="29"/>
      <c r="V30" s="29"/>
      <c r="W30" s="29"/>
    </row>
    <row r="31" ht="15.75" customHeight="1">
      <c r="A31" s="29" t="s">
        <v>427</v>
      </c>
      <c r="B31" s="29"/>
      <c r="C31" s="29"/>
      <c r="D31" s="29"/>
      <c r="E31" s="29"/>
      <c r="F31" s="29"/>
      <c r="G31" s="29"/>
      <c r="H31" s="29"/>
      <c r="I31" s="29"/>
      <c r="J31" s="29"/>
      <c r="K31" s="29"/>
      <c r="L31" s="29"/>
      <c r="M31" s="29"/>
      <c r="N31" s="29"/>
      <c r="O31" s="29"/>
      <c r="P31" s="29"/>
      <c r="Q31" s="29"/>
      <c r="R31" s="29"/>
      <c r="S31" s="29"/>
      <c r="T31" s="29"/>
      <c r="U31" s="29"/>
      <c r="V31" s="29"/>
      <c r="W31" s="29"/>
    </row>
    <row r="32" ht="15.75" customHeight="1">
      <c r="A32" s="32" t="s">
        <v>76</v>
      </c>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8">
    <mergeCell ref="C6:D6"/>
    <mergeCell ref="E6:F6"/>
    <mergeCell ref="G6:H6"/>
    <mergeCell ref="I6:J6"/>
    <mergeCell ref="K6:L6"/>
    <mergeCell ref="N6:O6"/>
    <mergeCell ref="P6:Q6"/>
    <mergeCell ref="R6:S6"/>
    <mergeCell ref="T6:U6"/>
    <mergeCell ref="V6:W6"/>
    <mergeCell ref="A4:A7"/>
    <mergeCell ref="B4:L4"/>
    <mergeCell ref="M4:W4"/>
    <mergeCell ref="B5:B7"/>
    <mergeCell ref="C5:L5"/>
    <mergeCell ref="M5:M7"/>
    <mergeCell ref="N5:W5"/>
    <mergeCell ref="A32:W32"/>
  </mergeCells>
  <hyperlinks>
    <hyperlink display="BACK TO LIST" location="LIST!A1" ref="A1"/>
  </hyperlinks>
  <printOptions/>
  <pageMargins bottom="0.75" footer="0.0" header="0.0" left="0.7" right="0.7" top="0.75"/>
  <pageSetup orientation="landscape"/>
  <drawing r:id="rId1"/>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9"/>
    <pageSetUpPr/>
  </sheetPr>
  <sheetViews>
    <sheetView workbookViewId="0"/>
  </sheetViews>
  <sheetFormatPr customHeight="1" defaultColWidth="12.63" defaultRowHeight="15.0"/>
  <cols>
    <col customWidth="1" min="1" max="1" width="39.0"/>
    <col customWidth="1" min="2" max="8" width="16.0"/>
    <col customWidth="1" min="9" max="9" width="17.63"/>
    <col customWidth="1" min="10" max="15" width="14.0"/>
    <col customWidth="1" min="16" max="26" width="8.63"/>
  </cols>
  <sheetData>
    <row r="1">
      <c r="A1" s="5" t="s">
        <v>1</v>
      </c>
      <c r="B1" s="5"/>
      <c r="C1" s="5"/>
      <c r="D1" s="5"/>
      <c r="E1" s="5"/>
      <c r="F1" s="5"/>
      <c r="G1" s="5"/>
      <c r="H1" s="5"/>
    </row>
    <row r="2" ht="15.0" customHeight="1">
      <c r="A2" s="6" t="s">
        <v>424</v>
      </c>
      <c r="B2" s="6"/>
      <c r="C2" s="6"/>
      <c r="D2" s="6"/>
      <c r="E2" s="6"/>
      <c r="F2" s="6"/>
      <c r="G2" s="6"/>
      <c r="H2" s="6"/>
      <c r="I2" s="6"/>
      <c r="J2" s="6"/>
      <c r="K2" s="6"/>
      <c r="L2" s="53"/>
      <c r="M2" s="53"/>
      <c r="N2" s="53"/>
      <c r="O2" s="53"/>
    </row>
    <row r="3">
      <c r="A3" s="8"/>
      <c r="B3" s="8"/>
      <c r="C3" s="8"/>
      <c r="D3" s="8"/>
      <c r="E3" s="8"/>
      <c r="F3" s="8"/>
      <c r="G3" s="8"/>
      <c r="H3" s="8"/>
      <c r="I3" s="9"/>
      <c r="J3" s="9"/>
      <c r="K3" s="9"/>
      <c r="L3" s="9"/>
      <c r="M3" s="9"/>
      <c r="N3" s="9"/>
      <c r="O3" s="9"/>
    </row>
    <row r="4">
      <c r="A4" s="10" t="s">
        <v>13</v>
      </c>
      <c r="B4" s="72">
        <v>2019.0</v>
      </c>
      <c r="C4" s="14"/>
      <c r="D4" s="14"/>
      <c r="E4" s="14"/>
      <c r="F4" s="14"/>
      <c r="G4" s="14"/>
      <c r="H4" s="15"/>
      <c r="I4" s="72">
        <v>2024.0</v>
      </c>
      <c r="J4" s="14"/>
      <c r="K4" s="14"/>
      <c r="L4" s="14"/>
      <c r="M4" s="14"/>
      <c r="N4" s="14"/>
      <c r="O4" s="15"/>
    </row>
    <row r="5" ht="18.75" customHeight="1">
      <c r="A5" s="17"/>
      <c r="B5" s="21" t="s">
        <v>423</v>
      </c>
      <c r="C5" s="42" t="s">
        <v>258</v>
      </c>
      <c r="D5" s="14"/>
      <c r="E5" s="14"/>
      <c r="F5" s="14"/>
      <c r="G5" s="14"/>
      <c r="H5" s="15"/>
      <c r="I5" s="21" t="s">
        <v>423</v>
      </c>
      <c r="J5" s="42" t="s">
        <v>258</v>
      </c>
      <c r="K5" s="14"/>
      <c r="L5" s="14"/>
      <c r="M5" s="14"/>
      <c r="N5" s="14"/>
      <c r="O5" s="15"/>
    </row>
    <row r="6" ht="18.75" customHeight="1">
      <c r="A6" s="17"/>
      <c r="B6" s="17"/>
      <c r="C6" s="13" t="s">
        <v>47</v>
      </c>
      <c r="D6" s="15"/>
      <c r="E6" s="13" t="s">
        <v>150</v>
      </c>
      <c r="F6" s="15"/>
      <c r="G6" s="13" t="s">
        <v>170</v>
      </c>
      <c r="H6" s="15"/>
      <c r="I6" s="17"/>
      <c r="J6" s="13" t="s">
        <v>47</v>
      </c>
      <c r="K6" s="15"/>
      <c r="L6" s="13" t="s">
        <v>150</v>
      </c>
      <c r="M6" s="15"/>
      <c r="N6" s="13" t="s">
        <v>170</v>
      </c>
      <c r="O6" s="15"/>
    </row>
    <row r="7" ht="18.75" customHeight="1">
      <c r="A7" s="18"/>
      <c r="B7" s="18"/>
      <c r="C7" s="24" t="s">
        <v>37</v>
      </c>
      <c r="D7" s="24" t="s">
        <v>39</v>
      </c>
      <c r="E7" s="24" t="s">
        <v>37</v>
      </c>
      <c r="F7" s="24" t="s">
        <v>39</v>
      </c>
      <c r="G7" s="24" t="s">
        <v>37</v>
      </c>
      <c r="H7" s="24" t="s">
        <v>39</v>
      </c>
      <c r="I7" s="18"/>
      <c r="J7" s="24" t="s">
        <v>37</v>
      </c>
      <c r="K7" s="24" t="s">
        <v>39</v>
      </c>
      <c r="L7" s="24" t="s">
        <v>37</v>
      </c>
      <c r="M7" s="24" t="s">
        <v>39</v>
      </c>
      <c r="N7" s="24" t="s">
        <v>37</v>
      </c>
      <c r="O7" s="24" t="s">
        <v>39</v>
      </c>
    </row>
    <row r="8">
      <c r="A8" s="16"/>
      <c r="B8" s="16"/>
      <c r="C8" s="16"/>
      <c r="D8" s="16"/>
      <c r="E8" s="16"/>
      <c r="F8" s="16"/>
      <c r="G8" s="16"/>
      <c r="H8" s="16"/>
      <c r="I8" s="20"/>
      <c r="J8" s="20"/>
      <c r="K8" s="20"/>
      <c r="L8" s="20"/>
      <c r="M8" s="20"/>
      <c r="N8" s="20"/>
      <c r="O8" s="20"/>
    </row>
    <row r="9">
      <c r="A9" s="22" t="s">
        <v>33</v>
      </c>
      <c r="B9" s="23">
        <f>'i_E23&amp;30'!B9</f>
        <v>5000645</v>
      </c>
      <c r="C9" s="23">
        <v>786663.127082</v>
      </c>
      <c r="D9" s="27">
        <f t="shared" ref="D9:D26" si="1">(C9/$B9)*100</f>
        <v>15.73123321</v>
      </c>
      <c r="E9" s="23">
        <v>4109584.2098049982</v>
      </c>
      <c r="F9" s="27">
        <f t="shared" ref="F9:F26" si="2">(E9/$B9)*100</f>
        <v>82.18108284</v>
      </c>
      <c r="G9" s="23">
        <v>2984.81396</v>
      </c>
      <c r="H9" s="27">
        <f t="shared" ref="H9:H26" si="3">(G9/$B9)*100</f>
        <v>0.05968857937</v>
      </c>
      <c r="I9" s="23">
        <v>2.2569267E7</v>
      </c>
      <c r="J9" s="23">
        <v>6344284.0</v>
      </c>
      <c r="K9" s="27">
        <f t="shared" ref="K9:K26" si="4">(J9/$I9)*100</f>
        <v>28.11027935</v>
      </c>
      <c r="L9" s="23">
        <v>1.5435588E7</v>
      </c>
      <c r="M9" s="27">
        <f t="shared" ref="M9:M26" si="5">(L9/$I9)*100</f>
        <v>68.39206608</v>
      </c>
      <c r="N9" s="23">
        <v>2243662.0</v>
      </c>
      <c r="O9" s="27">
        <f t="shared" ref="O9:O26" si="6">(N9/$I9)*100</f>
        <v>9.941226713</v>
      </c>
    </row>
    <row r="10">
      <c r="A10" s="25" t="s">
        <v>38</v>
      </c>
      <c r="B10" s="26">
        <f>'i_E23&amp;30'!B10</f>
        <v>1217080</v>
      </c>
      <c r="C10" s="26">
        <v>186857.2099</v>
      </c>
      <c r="D10" s="31">
        <f t="shared" si="1"/>
        <v>15.35291106</v>
      </c>
      <c r="E10" s="26">
        <v>1058203.4076999996</v>
      </c>
      <c r="F10" s="31">
        <f t="shared" si="2"/>
        <v>86.9460847</v>
      </c>
      <c r="G10" s="26">
        <v>0.0</v>
      </c>
      <c r="H10" s="31">
        <f t="shared" si="3"/>
        <v>0</v>
      </c>
      <c r="I10" s="26">
        <v>4037772.0</v>
      </c>
      <c r="J10" s="26">
        <v>1143331.0</v>
      </c>
      <c r="K10" s="31">
        <f t="shared" si="4"/>
        <v>28.31588807</v>
      </c>
      <c r="L10" s="26">
        <v>3321984.0</v>
      </c>
      <c r="M10" s="31">
        <f t="shared" si="5"/>
        <v>82.2726989</v>
      </c>
      <c r="N10" s="26">
        <v>3575.0</v>
      </c>
      <c r="O10" s="31">
        <f t="shared" si="6"/>
        <v>0.08853892691</v>
      </c>
    </row>
    <row r="11">
      <c r="A11" s="25" t="s">
        <v>41</v>
      </c>
      <c r="B11" s="26">
        <f>'i_E23&amp;30'!B11</f>
        <v>94428</v>
      </c>
      <c r="C11" s="26">
        <v>18174.3382</v>
      </c>
      <c r="D11" s="31">
        <f t="shared" si="1"/>
        <v>19.24676812</v>
      </c>
      <c r="E11" s="26">
        <v>86682.87376200005</v>
      </c>
      <c r="F11" s="31">
        <f t="shared" si="2"/>
        <v>91.79784996</v>
      </c>
      <c r="G11" s="26">
        <v>0.0</v>
      </c>
      <c r="H11" s="31">
        <f t="shared" si="3"/>
        <v>0</v>
      </c>
      <c r="I11" s="26">
        <v>328975.0</v>
      </c>
      <c r="J11" s="26">
        <v>73697.0</v>
      </c>
      <c r="K11" s="31">
        <f t="shared" si="4"/>
        <v>22.40200623</v>
      </c>
      <c r="L11" s="26">
        <v>199258.0</v>
      </c>
      <c r="M11" s="31">
        <f t="shared" si="5"/>
        <v>60.56934418</v>
      </c>
      <c r="N11" s="26">
        <v>77895.0</v>
      </c>
      <c r="O11" s="31">
        <f t="shared" si="6"/>
        <v>23.67809104</v>
      </c>
    </row>
    <row r="12">
      <c r="A12" s="25" t="s">
        <v>43</v>
      </c>
      <c r="B12" s="26">
        <f>'i_E23&amp;30'!B12</f>
        <v>259922</v>
      </c>
      <c r="C12" s="26">
        <v>47642.17266999999</v>
      </c>
      <c r="D12" s="31">
        <f t="shared" si="1"/>
        <v>18.32941139</v>
      </c>
      <c r="E12" s="26">
        <v>149539.37472</v>
      </c>
      <c r="F12" s="31">
        <f t="shared" si="2"/>
        <v>57.53240384</v>
      </c>
      <c r="G12" s="26">
        <v>0.0</v>
      </c>
      <c r="H12" s="31">
        <f t="shared" si="3"/>
        <v>0</v>
      </c>
      <c r="I12" s="26">
        <v>1189891.0</v>
      </c>
      <c r="J12" s="26">
        <v>301941.0</v>
      </c>
      <c r="K12" s="31">
        <f t="shared" si="4"/>
        <v>25.37551759</v>
      </c>
      <c r="L12" s="26">
        <v>801720.0</v>
      </c>
      <c r="M12" s="31">
        <f t="shared" si="5"/>
        <v>67.37760013</v>
      </c>
      <c r="N12" s="26">
        <v>154428.0</v>
      </c>
      <c r="O12" s="31">
        <f t="shared" si="6"/>
        <v>12.97833163</v>
      </c>
    </row>
    <row r="13">
      <c r="A13" s="25" t="s">
        <v>44</v>
      </c>
      <c r="B13" s="26">
        <f>'i_E23&amp;30'!B13</f>
        <v>133794</v>
      </c>
      <c r="C13" s="26">
        <v>3708.028212</v>
      </c>
      <c r="D13" s="31">
        <f t="shared" si="1"/>
        <v>2.771445814</v>
      </c>
      <c r="E13" s="26">
        <v>47811.69394100002</v>
      </c>
      <c r="F13" s="31">
        <f t="shared" si="2"/>
        <v>35.73530498</v>
      </c>
      <c r="G13" s="26">
        <v>0.0</v>
      </c>
      <c r="H13" s="31">
        <f t="shared" si="3"/>
        <v>0</v>
      </c>
      <c r="I13" s="26">
        <v>791574.0</v>
      </c>
      <c r="J13" s="26">
        <v>190289.0</v>
      </c>
      <c r="K13" s="31">
        <f t="shared" si="4"/>
        <v>24.03931913</v>
      </c>
      <c r="L13" s="26">
        <v>527280.0</v>
      </c>
      <c r="M13" s="31">
        <f t="shared" si="5"/>
        <v>66.61158654</v>
      </c>
      <c r="N13" s="26">
        <v>111862.0</v>
      </c>
      <c r="O13" s="31">
        <f t="shared" si="6"/>
        <v>14.13159098</v>
      </c>
    </row>
    <row r="14">
      <c r="A14" s="25" t="s">
        <v>46</v>
      </c>
      <c r="B14" s="26">
        <f>'i_E23&amp;30'!B14</f>
        <v>733207</v>
      </c>
      <c r="C14" s="26">
        <v>118106.74556000002</v>
      </c>
      <c r="D14" s="31">
        <f t="shared" si="1"/>
        <v>16.10824031</v>
      </c>
      <c r="E14" s="26">
        <v>705430.3517499999</v>
      </c>
      <c r="F14" s="31">
        <f t="shared" si="2"/>
        <v>96.2116226</v>
      </c>
      <c r="G14" s="26">
        <v>0.0</v>
      </c>
      <c r="H14" s="31">
        <f t="shared" si="3"/>
        <v>0</v>
      </c>
      <c r="I14" s="26">
        <v>3838538.0</v>
      </c>
      <c r="J14" s="26">
        <v>1039444.0</v>
      </c>
      <c r="K14" s="31">
        <f t="shared" si="4"/>
        <v>27.07916399</v>
      </c>
      <c r="L14" s="26">
        <v>2626098.0</v>
      </c>
      <c r="M14" s="31">
        <f t="shared" si="5"/>
        <v>68.41401596</v>
      </c>
      <c r="N14" s="26">
        <v>371327.0</v>
      </c>
      <c r="O14" s="31">
        <f t="shared" si="6"/>
        <v>9.673657002</v>
      </c>
    </row>
    <row r="15">
      <c r="A15" s="25" t="s">
        <v>48</v>
      </c>
      <c r="B15" s="26">
        <f>'i_E23&amp;30'!B15</f>
        <v>1344298</v>
      </c>
      <c r="C15" s="26">
        <v>218776.1398</v>
      </c>
      <c r="D15" s="31">
        <f t="shared" si="1"/>
        <v>16.27437814</v>
      </c>
      <c r="E15" s="26">
        <v>1184256.4895499991</v>
      </c>
      <c r="F15" s="31">
        <f t="shared" si="2"/>
        <v>88.09478922</v>
      </c>
      <c r="G15" s="26">
        <v>0.0</v>
      </c>
      <c r="H15" s="31">
        <f t="shared" si="3"/>
        <v>0</v>
      </c>
      <c r="I15" s="26">
        <v>4019366.0</v>
      </c>
      <c r="J15" s="26">
        <v>1218840.0</v>
      </c>
      <c r="K15" s="31">
        <f t="shared" si="4"/>
        <v>30.32418546</v>
      </c>
      <c r="L15" s="26">
        <v>3053330.0</v>
      </c>
      <c r="M15" s="31">
        <f t="shared" si="5"/>
        <v>75.96546321</v>
      </c>
      <c r="N15" s="26">
        <v>5878.0</v>
      </c>
      <c r="O15" s="31">
        <f t="shared" si="6"/>
        <v>0.1462419695</v>
      </c>
    </row>
    <row r="16">
      <c r="A16" s="25" t="s">
        <v>50</v>
      </c>
      <c r="B16" s="26">
        <f>'i_E23&amp;30'!B16</f>
        <v>126433</v>
      </c>
      <c r="C16" s="26">
        <v>12888.36299</v>
      </c>
      <c r="D16" s="31">
        <f t="shared" si="1"/>
        <v>10.19382834</v>
      </c>
      <c r="E16" s="26">
        <v>94781.16072</v>
      </c>
      <c r="F16" s="31">
        <f t="shared" si="2"/>
        <v>74.96552381</v>
      </c>
      <c r="G16" s="26">
        <v>0.0</v>
      </c>
      <c r="H16" s="31">
        <f t="shared" si="3"/>
        <v>0</v>
      </c>
      <c r="I16" s="26">
        <v>629725.0</v>
      </c>
      <c r="J16" s="26">
        <v>242004.0</v>
      </c>
      <c r="K16" s="31">
        <f t="shared" si="4"/>
        <v>38.43010838</v>
      </c>
      <c r="L16" s="26">
        <v>381119.0</v>
      </c>
      <c r="M16" s="31">
        <f t="shared" si="5"/>
        <v>60.52149748</v>
      </c>
      <c r="N16" s="26">
        <v>69644.0</v>
      </c>
      <c r="O16" s="31">
        <f t="shared" si="6"/>
        <v>11.0594307</v>
      </c>
    </row>
    <row r="17">
      <c r="A17" s="25" t="s">
        <v>51</v>
      </c>
      <c r="B17" s="26">
        <f>'i_E23&amp;30'!B17</f>
        <v>140889</v>
      </c>
      <c r="C17" s="26">
        <v>31898.18198</v>
      </c>
      <c r="D17" s="31">
        <f t="shared" si="1"/>
        <v>22.64064759</v>
      </c>
      <c r="E17" s="26">
        <v>106953.79906000003</v>
      </c>
      <c r="F17" s="31">
        <f t="shared" si="2"/>
        <v>75.91351991</v>
      </c>
      <c r="G17" s="26">
        <v>1655.6499</v>
      </c>
      <c r="H17" s="31">
        <f t="shared" si="3"/>
        <v>1.175144901</v>
      </c>
      <c r="I17" s="26">
        <v>1381518.0</v>
      </c>
      <c r="J17" s="26">
        <v>300657.0</v>
      </c>
      <c r="K17" s="31">
        <f t="shared" si="4"/>
        <v>21.76280005</v>
      </c>
      <c r="L17" s="26">
        <v>763777.0</v>
      </c>
      <c r="M17" s="31">
        <f t="shared" si="5"/>
        <v>55.28534554</v>
      </c>
      <c r="N17" s="26">
        <v>344241.0</v>
      </c>
      <c r="O17" s="31">
        <f t="shared" si="6"/>
        <v>24.91759065</v>
      </c>
    </row>
    <row r="18">
      <c r="A18" s="25" t="s">
        <v>53</v>
      </c>
      <c r="B18" s="26">
        <f>'i_E23&amp;30'!B18</f>
        <v>223092</v>
      </c>
      <c r="C18" s="26">
        <v>21508.892849999997</v>
      </c>
      <c r="D18" s="31">
        <f t="shared" si="1"/>
        <v>9.641265868</v>
      </c>
      <c r="E18" s="26">
        <v>112392.67286999998</v>
      </c>
      <c r="F18" s="31">
        <f t="shared" si="2"/>
        <v>50.37951736</v>
      </c>
      <c r="G18" s="26">
        <v>967.91406</v>
      </c>
      <c r="H18" s="31">
        <f t="shared" si="3"/>
        <v>0.4338631865</v>
      </c>
      <c r="I18" s="26">
        <v>1374053.0</v>
      </c>
      <c r="J18" s="26">
        <v>495991.0</v>
      </c>
      <c r="K18" s="31">
        <f t="shared" si="4"/>
        <v>36.09693367</v>
      </c>
      <c r="L18" s="26">
        <v>552516.0</v>
      </c>
      <c r="M18" s="31">
        <f t="shared" si="5"/>
        <v>40.21067601</v>
      </c>
      <c r="N18" s="26">
        <v>383319.0</v>
      </c>
      <c r="O18" s="31">
        <f t="shared" si="6"/>
        <v>27.89695885</v>
      </c>
    </row>
    <row r="19">
      <c r="A19" s="25" t="s">
        <v>54</v>
      </c>
      <c r="B19" s="26">
        <f>'i_E23&amp;30'!B19</f>
        <v>167413</v>
      </c>
      <c r="C19" s="26">
        <v>29054.430320000003</v>
      </c>
      <c r="D19" s="31">
        <f t="shared" si="1"/>
        <v>17.35494276</v>
      </c>
      <c r="E19" s="26">
        <v>154193.47105</v>
      </c>
      <c r="F19" s="31">
        <f t="shared" si="2"/>
        <v>92.10364252</v>
      </c>
      <c r="G19" s="26">
        <v>0.0</v>
      </c>
      <c r="H19" s="31">
        <f t="shared" si="3"/>
        <v>0</v>
      </c>
      <c r="I19" s="26">
        <v>1497769.0</v>
      </c>
      <c r="J19" s="26">
        <v>384340.0</v>
      </c>
      <c r="K19" s="31">
        <f t="shared" si="4"/>
        <v>25.66083288</v>
      </c>
      <c r="L19" s="26">
        <v>946019.0</v>
      </c>
      <c r="M19" s="31">
        <f t="shared" si="5"/>
        <v>63.1618761</v>
      </c>
      <c r="N19" s="26">
        <v>273211.0</v>
      </c>
      <c r="O19" s="31">
        <f t="shared" si="6"/>
        <v>18.24119741</v>
      </c>
    </row>
    <row r="20">
      <c r="A20" s="25" t="s">
        <v>56</v>
      </c>
      <c r="B20" s="26">
        <f>'i_E23&amp;30'!B20</f>
        <v>155309</v>
      </c>
      <c r="C20" s="26">
        <v>25523.70479</v>
      </c>
      <c r="D20" s="31">
        <f t="shared" si="1"/>
        <v>16.43414405</v>
      </c>
      <c r="E20" s="26">
        <v>110220.76932200001</v>
      </c>
      <c r="F20" s="31">
        <f t="shared" si="2"/>
        <v>70.96869423</v>
      </c>
      <c r="G20" s="26">
        <v>0.0</v>
      </c>
      <c r="H20" s="31">
        <f t="shared" si="3"/>
        <v>0</v>
      </c>
      <c r="I20" s="26">
        <v>811117.0</v>
      </c>
      <c r="J20" s="26">
        <v>194941.0</v>
      </c>
      <c r="K20" s="31">
        <f t="shared" si="4"/>
        <v>24.03364743</v>
      </c>
      <c r="L20" s="26">
        <v>571251.0</v>
      </c>
      <c r="M20" s="31">
        <f t="shared" si="5"/>
        <v>70.42769416</v>
      </c>
      <c r="N20" s="26">
        <v>103107.0</v>
      </c>
      <c r="O20" s="31">
        <f t="shared" si="6"/>
        <v>12.71172963</v>
      </c>
    </row>
    <row r="21" ht="15.75" customHeight="1">
      <c r="A21" s="25" t="s">
        <v>57</v>
      </c>
      <c r="B21" s="26">
        <f>'i_E23&amp;30'!B21</f>
        <v>58054</v>
      </c>
      <c r="C21" s="26">
        <v>3418.8631800000003</v>
      </c>
      <c r="D21" s="31">
        <f t="shared" si="1"/>
        <v>5.889108726</v>
      </c>
      <c r="E21" s="26">
        <v>49871.332599999994</v>
      </c>
      <c r="F21" s="31">
        <f t="shared" si="2"/>
        <v>85.90507562</v>
      </c>
      <c r="G21" s="26">
        <v>0.0</v>
      </c>
      <c r="H21" s="31">
        <f t="shared" si="3"/>
        <v>0</v>
      </c>
      <c r="I21" s="26">
        <v>262432.0</v>
      </c>
      <c r="J21" s="26">
        <v>101155.0</v>
      </c>
      <c r="K21" s="31">
        <f t="shared" si="4"/>
        <v>38.54522314</v>
      </c>
      <c r="L21" s="26">
        <v>156525.0</v>
      </c>
      <c r="M21" s="31">
        <f t="shared" si="5"/>
        <v>59.64402207</v>
      </c>
      <c r="N21" s="26">
        <v>28194.0</v>
      </c>
      <c r="O21" s="31">
        <f t="shared" si="6"/>
        <v>10.74335447</v>
      </c>
    </row>
    <row r="22" ht="15.75" customHeight="1">
      <c r="A22" s="25" t="s">
        <v>59</v>
      </c>
      <c r="B22" s="26">
        <f>'i_E23&amp;30'!B22</f>
        <v>55371</v>
      </c>
      <c r="C22" s="26">
        <v>16276.366439999998</v>
      </c>
      <c r="D22" s="31">
        <f t="shared" si="1"/>
        <v>29.39511015</v>
      </c>
      <c r="E22" s="26">
        <v>36038.28081999999</v>
      </c>
      <c r="F22" s="31">
        <f t="shared" si="2"/>
        <v>65.08511824</v>
      </c>
      <c r="G22" s="26">
        <v>0.0</v>
      </c>
      <c r="H22" s="31">
        <f t="shared" si="3"/>
        <v>0</v>
      </c>
      <c r="I22" s="26">
        <v>674428.0</v>
      </c>
      <c r="J22" s="26">
        <v>176044.0</v>
      </c>
      <c r="K22" s="31">
        <f t="shared" si="4"/>
        <v>26.10271222</v>
      </c>
      <c r="L22" s="26">
        <v>420584.0</v>
      </c>
      <c r="M22" s="31">
        <f t="shared" si="5"/>
        <v>62.36158641</v>
      </c>
      <c r="N22" s="26">
        <v>102793.0</v>
      </c>
      <c r="O22" s="31">
        <f t="shared" si="6"/>
        <v>15.24150836</v>
      </c>
    </row>
    <row r="23" ht="15.75" customHeight="1">
      <c r="A23" s="25" t="s">
        <v>60</v>
      </c>
      <c r="B23" s="26">
        <f>'i_E23&amp;30'!B23</f>
        <v>93572</v>
      </c>
      <c r="C23" s="26">
        <v>21909.81019</v>
      </c>
      <c r="D23" s="31">
        <f t="shared" si="1"/>
        <v>23.41492133</v>
      </c>
      <c r="E23" s="26">
        <v>68865.82470999999</v>
      </c>
      <c r="F23" s="31">
        <f t="shared" si="2"/>
        <v>73.59661513</v>
      </c>
      <c r="G23" s="26">
        <v>0.0</v>
      </c>
      <c r="H23" s="31">
        <f t="shared" si="3"/>
        <v>0</v>
      </c>
      <c r="I23" s="26">
        <v>462806.0</v>
      </c>
      <c r="J23" s="26">
        <v>199670.0</v>
      </c>
      <c r="K23" s="31">
        <f t="shared" si="4"/>
        <v>43.14334732</v>
      </c>
      <c r="L23" s="26">
        <v>302180.0</v>
      </c>
      <c r="M23" s="31">
        <f t="shared" si="5"/>
        <v>65.29301694</v>
      </c>
      <c r="N23" s="26">
        <v>3726.0</v>
      </c>
      <c r="O23" s="31">
        <f t="shared" si="6"/>
        <v>0.8050889574</v>
      </c>
    </row>
    <row r="24" ht="15.75" customHeight="1">
      <c r="A24" s="25" t="s">
        <v>63</v>
      </c>
      <c r="B24" s="26">
        <f>'i_E23&amp;30'!B24</f>
        <v>140430</v>
      </c>
      <c r="C24" s="26">
        <v>24922.481089999997</v>
      </c>
      <c r="D24" s="31">
        <f t="shared" si="1"/>
        <v>17.74726276</v>
      </c>
      <c r="E24" s="26">
        <v>128806.51353000001</v>
      </c>
      <c r="F24" s="31">
        <f t="shared" si="2"/>
        <v>91.72293209</v>
      </c>
      <c r="G24" s="26">
        <v>0.0</v>
      </c>
      <c r="H24" s="31">
        <f t="shared" si="3"/>
        <v>0</v>
      </c>
      <c r="I24" s="26">
        <v>661052.0</v>
      </c>
      <c r="J24" s="26">
        <v>160076.0</v>
      </c>
      <c r="K24" s="31">
        <f t="shared" si="4"/>
        <v>24.21534161</v>
      </c>
      <c r="L24" s="26">
        <v>486284.0</v>
      </c>
      <c r="M24" s="31">
        <f t="shared" si="5"/>
        <v>73.56214035</v>
      </c>
      <c r="N24" s="26">
        <v>28878.0</v>
      </c>
      <c r="O24" s="31">
        <f t="shared" si="6"/>
        <v>4.368491435</v>
      </c>
    </row>
    <row r="25" ht="15.75" customHeight="1">
      <c r="A25" s="25" t="s">
        <v>64</v>
      </c>
      <c r="B25" s="26">
        <f>'i_E23&amp;30'!B25</f>
        <v>46686</v>
      </c>
      <c r="C25" s="26">
        <v>5997.398910000001</v>
      </c>
      <c r="D25" s="31">
        <f t="shared" si="1"/>
        <v>12.84624708</v>
      </c>
      <c r="E25" s="26">
        <v>11498.92746</v>
      </c>
      <c r="F25" s="31">
        <f t="shared" si="2"/>
        <v>24.63035484</v>
      </c>
      <c r="G25" s="26">
        <v>361.25</v>
      </c>
      <c r="H25" s="31">
        <f t="shared" si="3"/>
        <v>0.7737865741</v>
      </c>
      <c r="I25" s="26">
        <v>425995.0</v>
      </c>
      <c r="J25" s="26">
        <v>71198.0</v>
      </c>
      <c r="K25" s="31">
        <f t="shared" si="4"/>
        <v>16.71334171</v>
      </c>
      <c r="L25" s="26">
        <v>241959.0</v>
      </c>
      <c r="M25" s="31">
        <f t="shared" si="5"/>
        <v>56.79855397</v>
      </c>
      <c r="N25" s="26">
        <v>129236.0</v>
      </c>
      <c r="O25" s="31">
        <f t="shared" si="6"/>
        <v>30.33744528</v>
      </c>
    </row>
    <row r="26" ht="15.75" customHeight="1">
      <c r="A26" s="25" t="s">
        <v>65</v>
      </c>
      <c r="B26" s="26">
        <f>'i_E23&amp;30'!B26</f>
        <v>10666</v>
      </c>
      <c r="C26" s="26">
        <v>0.0</v>
      </c>
      <c r="D26" s="31">
        <f t="shared" si="1"/>
        <v>0</v>
      </c>
      <c r="E26" s="26">
        <v>4037.26624</v>
      </c>
      <c r="F26" s="31">
        <f t="shared" si="2"/>
        <v>37.85173673</v>
      </c>
      <c r="G26" s="26">
        <v>0.0</v>
      </c>
      <c r="H26" s="31">
        <f t="shared" si="3"/>
        <v>0</v>
      </c>
      <c r="I26" s="26">
        <v>182257.0</v>
      </c>
      <c r="J26" s="26">
        <v>50667.0</v>
      </c>
      <c r="K26" s="31">
        <f t="shared" si="4"/>
        <v>27.79975529</v>
      </c>
      <c r="L26" s="26">
        <v>83706.0</v>
      </c>
      <c r="M26" s="31">
        <f t="shared" si="5"/>
        <v>45.92745409</v>
      </c>
      <c r="N26" s="26">
        <v>52350.0</v>
      </c>
      <c r="O26" s="31">
        <f t="shared" si="6"/>
        <v>28.72317661</v>
      </c>
    </row>
    <row r="27" ht="15.75" customHeight="1">
      <c r="A27" s="28"/>
      <c r="B27" s="28"/>
      <c r="C27" s="28"/>
      <c r="D27" s="28"/>
      <c r="E27" s="28"/>
      <c r="F27" s="28"/>
      <c r="G27" s="28"/>
      <c r="H27" s="28"/>
      <c r="I27" s="28"/>
      <c r="J27" s="28"/>
      <c r="K27" s="28"/>
      <c r="L27" s="28"/>
      <c r="M27" s="28"/>
      <c r="N27" s="28"/>
      <c r="O27" s="28"/>
    </row>
    <row r="28" ht="15.75" customHeight="1">
      <c r="A28" s="9"/>
      <c r="B28" s="9"/>
      <c r="C28" s="9"/>
      <c r="D28" s="9"/>
      <c r="E28" s="9"/>
      <c r="F28" s="9"/>
      <c r="G28" s="9"/>
      <c r="H28" s="9"/>
      <c r="I28" s="9"/>
      <c r="J28" s="9"/>
      <c r="K28" s="9"/>
      <c r="L28" s="9"/>
      <c r="M28" s="9"/>
      <c r="N28" s="9"/>
      <c r="O28" s="9"/>
    </row>
    <row r="29" ht="15.75" customHeight="1">
      <c r="A29" s="29" t="s">
        <v>69</v>
      </c>
      <c r="B29" s="29"/>
      <c r="C29" s="29"/>
      <c r="D29" s="29"/>
      <c r="E29" s="29"/>
      <c r="F29" s="29"/>
      <c r="G29" s="29"/>
      <c r="H29" s="29"/>
      <c r="I29" s="29"/>
      <c r="J29" s="29"/>
      <c r="K29" s="29"/>
      <c r="L29" s="29"/>
      <c r="M29" s="29"/>
      <c r="N29" s="29"/>
      <c r="O29" s="29"/>
    </row>
    <row r="30" ht="15.75" customHeight="1">
      <c r="A30" s="29" t="s">
        <v>72</v>
      </c>
      <c r="B30" s="29"/>
      <c r="C30" s="29"/>
      <c r="D30" s="29"/>
      <c r="E30" s="29"/>
      <c r="F30" s="29"/>
      <c r="G30" s="29"/>
      <c r="H30" s="29"/>
      <c r="I30" s="29"/>
      <c r="J30" s="29"/>
      <c r="K30" s="29"/>
      <c r="L30" s="29"/>
      <c r="M30" s="29"/>
      <c r="N30" s="29"/>
      <c r="O30" s="29"/>
    </row>
    <row r="31" ht="15.75" customHeight="1">
      <c r="A31" s="29" t="s">
        <v>426</v>
      </c>
      <c r="B31" s="29"/>
      <c r="C31" s="29"/>
      <c r="D31" s="29"/>
      <c r="E31" s="29"/>
      <c r="F31" s="29"/>
      <c r="G31" s="29"/>
      <c r="H31" s="29"/>
      <c r="I31" s="29"/>
      <c r="J31" s="29"/>
      <c r="K31" s="29"/>
      <c r="L31" s="29"/>
      <c r="M31" s="29"/>
      <c r="N31" s="29"/>
      <c r="O31" s="29"/>
    </row>
    <row r="32" ht="15.75" customHeight="1">
      <c r="A32" s="32" t="s">
        <v>76</v>
      </c>
    </row>
    <row r="33" ht="15.75" customHeight="1">
      <c r="A33" s="32"/>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5">
    <mergeCell ref="C6:D6"/>
    <mergeCell ref="E6:F6"/>
    <mergeCell ref="G6:H6"/>
    <mergeCell ref="J6:K6"/>
    <mergeCell ref="L6:M6"/>
    <mergeCell ref="N6:O6"/>
    <mergeCell ref="A32:O32"/>
    <mergeCell ref="A33:O33"/>
    <mergeCell ref="A4:A7"/>
    <mergeCell ref="B4:H4"/>
    <mergeCell ref="I4:O4"/>
    <mergeCell ref="B5:B7"/>
    <mergeCell ref="C5:H5"/>
    <mergeCell ref="I5:I7"/>
    <mergeCell ref="J5:O5"/>
  </mergeCells>
  <hyperlinks>
    <hyperlink display="BACK TO LIST" location="LIST!A1" ref="A1"/>
  </hyperlinks>
  <printOptions/>
  <pageMargins bottom="0.75" footer="0.0" header="0.0" left="0.7" right="0.7" top="0.75"/>
  <pageSetup paperSize="9" scale="63" orientation="portrait"/>
  <drawing r:id="rId1"/>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9"/>
    <pageSetUpPr/>
  </sheetPr>
  <sheetViews>
    <sheetView workbookViewId="0"/>
  </sheetViews>
  <sheetFormatPr customHeight="1" defaultColWidth="12.63" defaultRowHeight="15.0"/>
  <cols>
    <col customWidth="1" min="1" max="1" width="39.0"/>
    <col customWidth="1" min="2" max="2" width="17.0"/>
    <col customWidth="1" min="3" max="10" width="14.0"/>
    <col customWidth="1" min="11" max="11" width="17.0"/>
    <col customWidth="1" min="12" max="19" width="14.0"/>
    <col customWidth="1" min="20" max="26" width="8.63"/>
  </cols>
  <sheetData>
    <row r="1">
      <c r="A1" s="5" t="s">
        <v>1</v>
      </c>
      <c r="B1" s="5"/>
      <c r="C1" s="5"/>
      <c r="D1" s="5"/>
      <c r="E1" s="5"/>
      <c r="F1" s="5"/>
      <c r="G1" s="5"/>
      <c r="H1" s="5"/>
      <c r="I1" s="5"/>
      <c r="J1" s="5"/>
    </row>
    <row r="2" ht="15.0" customHeight="1">
      <c r="A2" s="6" t="s">
        <v>428</v>
      </c>
      <c r="B2" s="6"/>
      <c r="C2" s="6"/>
      <c r="D2" s="6"/>
      <c r="E2" s="6"/>
      <c r="F2" s="6"/>
      <c r="G2" s="6"/>
      <c r="H2" s="6"/>
      <c r="I2" s="6"/>
      <c r="J2" s="6"/>
      <c r="K2" s="6"/>
      <c r="L2" s="6"/>
      <c r="M2" s="6"/>
      <c r="N2" s="53"/>
      <c r="O2" s="53"/>
      <c r="P2" s="53"/>
      <c r="Q2" s="53"/>
    </row>
    <row r="3">
      <c r="A3" s="8"/>
      <c r="B3" s="8"/>
      <c r="C3" s="8"/>
      <c r="D3" s="8"/>
      <c r="E3" s="8"/>
      <c r="F3" s="8"/>
      <c r="G3" s="8"/>
      <c r="H3" s="8"/>
      <c r="I3" s="8"/>
      <c r="J3" s="8"/>
      <c r="K3" s="9"/>
      <c r="L3" s="9"/>
      <c r="M3" s="9"/>
      <c r="N3" s="9"/>
      <c r="O3" s="9"/>
      <c r="P3" s="9"/>
      <c r="Q3" s="9"/>
      <c r="R3" s="9"/>
      <c r="S3" s="9"/>
    </row>
    <row r="4">
      <c r="A4" s="10" t="s">
        <v>13</v>
      </c>
      <c r="B4" s="72">
        <v>2019.0</v>
      </c>
      <c r="C4" s="14"/>
      <c r="D4" s="14"/>
      <c r="E4" s="14"/>
      <c r="F4" s="14"/>
      <c r="G4" s="14"/>
      <c r="H4" s="14"/>
      <c r="I4" s="14"/>
      <c r="J4" s="15"/>
      <c r="K4" s="72">
        <v>2024.0</v>
      </c>
      <c r="L4" s="14"/>
      <c r="M4" s="14"/>
      <c r="N4" s="14"/>
      <c r="O4" s="14"/>
      <c r="P4" s="14"/>
      <c r="Q4" s="14"/>
      <c r="R4" s="14"/>
      <c r="S4" s="15"/>
    </row>
    <row r="5" ht="21.0" customHeight="1">
      <c r="A5" s="17"/>
      <c r="B5" s="21" t="s">
        <v>423</v>
      </c>
      <c r="C5" s="42" t="s">
        <v>429</v>
      </c>
      <c r="D5" s="14"/>
      <c r="E5" s="14"/>
      <c r="F5" s="14"/>
      <c r="G5" s="14"/>
      <c r="H5" s="14"/>
      <c r="I5" s="14"/>
      <c r="J5" s="15"/>
      <c r="K5" s="21" t="s">
        <v>423</v>
      </c>
      <c r="L5" s="42" t="s">
        <v>429</v>
      </c>
      <c r="M5" s="14"/>
      <c r="N5" s="14"/>
      <c r="O5" s="14"/>
      <c r="P5" s="14"/>
      <c r="Q5" s="14"/>
      <c r="R5" s="14"/>
      <c r="S5" s="15"/>
    </row>
    <row r="6" ht="21.0" customHeight="1">
      <c r="A6" s="17"/>
      <c r="B6" s="17"/>
      <c r="C6" s="13" t="s">
        <v>430</v>
      </c>
      <c r="D6" s="15"/>
      <c r="E6" s="13" t="s">
        <v>431</v>
      </c>
      <c r="F6" s="15"/>
      <c r="G6" s="13" t="s">
        <v>432</v>
      </c>
      <c r="H6" s="15"/>
      <c r="I6" s="13" t="s">
        <v>170</v>
      </c>
      <c r="J6" s="15"/>
      <c r="K6" s="17"/>
      <c r="L6" s="13" t="s">
        <v>430</v>
      </c>
      <c r="M6" s="15"/>
      <c r="N6" s="13" t="s">
        <v>431</v>
      </c>
      <c r="O6" s="15"/>
      <c r="P6" s="13" t="s">
        <v>432</v>
      </c>
      <c r="Q6" s="15"/>
      <c r="R6" s="13" t="s">
        <v>170</v>
      </c>
      <c r="S6" s="15"/>
    </row>
    <row r="7" ht="21.0" customHeight="1">
      <c r="A7" s="18"/>
      <c r="B7" s="18"/>
      <c r="C7" s="24" t="s">
        <v>37</v>
      </c>
      <c r="D7" s="24" t="s">
        <v>39</v>
      </c>
      <c r="E7" s="24" t="s">
        <v>37</v>
      </c>
      <c r="F7" s="24" t="s">
        <v>39</v>
      </c>
      <c r="G7" s="24" t="s">
        <v>37</v>
      </c>
      <c r="H7" s="24" t="s">
        <v>39</v>
      </c>
      <c r="I7" s="24" t="s">
        <v>37</v>
      </c>
      <c r="J7" s="24" t="s">
        <v>39</v>
      </c>
      <c r="K7" s="18"/>
      <c r="L7" s="24" t="s">
        <v>37</v>
      </c>
      <c r="M7" s="24" t="s">
        <v>39</v>
      </c>
      <c r="N7" s="24" t="s">
        <v>37</v>
      </c>
      <c r="O7" s="24" t="s">
        <v>39</v>
      </c>
      <c r="P7" s="24" t="s">
        <v>37</v>
      </c>
      <c r="Q7" s="24" t="s">
        <v>39</v>
      </c>
      <c r="R7" s="24" t="s">
        <v>37</v>
      </c>
      <c r="S7" s="24" t="s">
        <v>39</v>
      </c>
    </row>
    <row r="8">
      <c r="A8" s="16"/>
      <c r="B8" s="16"/>
      <c r="C8" s="16"/>
      <c r="D8" s="16"/>
      <c r="E8" s="16"/>
      <c r="F8" s="16"/>
      <c r="G8" s="16"/>
      <c r="H8" s="16"/>
      <c r="I8" s="16"/>
      <c r="J8" s="16"/>
      <c r="K8" s="20"/>
      <c r="L8" s="20"/>
      <c r="M8" s="20"/>
      <c r="N8" s="20"/>
      <c r="O8" s="20"/>
      <c r="P8" s="20"/>
      <c r="Q8" s="20"/>
      <c r="R8" s="20"/>
      <c r="S8" s="20"/>
    </row>
    <row r="9">
      <c r="A9" s="22" t="s">
        <v>33</v>
      </c>
      <c r="B9" s="23">
        <f>'i_C21E23&amp;31'!B9</f>
        <v>5000645</v>
      </c>
      <c r="C9" s="23">
        <v>3386074.1062709983</v>
      </c>
      <c r="D9" s="27">
        <f t="shared" ref="D9:D26" si="1">(C9/$B9)*100</f>
        <v>67.71274718</v>
      </c>
      <c r="E9" s="23">
        <v>916494.7462650003</v>
      </c>
      <c r="F9" s="27">
        <f t="shared" ref="F9:F26" si="2">(E9/$B9)*100</f>
        <v>18.32753067</v>
      </c>
      <c r="G9" s="23">
        <v>422054.6590439999</v>
      </c>
      <c r="H9" s="27">
        <f t="shared" ref="H9:H26" si="3">(G9/$B9)*100</f>
        <v>8.44000442</v>
      </c>
      <c r="I9" s="23">
        <v>123392.26787</v>
      </c>
      <c r="J9" s="27">
        <f t="shared" ref="J9:J26" si="4">(I9/$B9)*100</f>
        <v>2.467527046</v>
      </c>
      <c r="K9" s="23">
        <v>2.2569267E7</v>
      </c>
      <c r="L9" s="23">
        <v>2.0371706E7</v>
      </c>
      <c r="M9" s="27">
        <f t="shared" ref="M9:M26" si="5">(L9/$K9)*100</f>
        <v>90.26303778</v>
      </c>
      <c r="N9" s="23">
        <v>2471687.0</v>
      </c>
      <c r="O9" s="27">
        <f t="shared" ref="O9:O26" si="6">(N9/$K9)*100</f>
        <v>10.95156081</v>
      </c>
      <c r="P9" s="23">
        <v>1718056.0</v>
      </c>
      <c r="Q9" s="27">
        <f t="shared" ref="Q9:Q26" si="7">(P9/$K9)*100</f>
        <v>7.612369511</v>
      </c>
      <c r="R9" s="23">
        <v>356114.0</v>
      </c>
      <c r="S9" s="27">
        <f t="shared" ref="S9:S26" si="8">(R9/$K9)*100</f>
        <v>1.577871359</v>
      </c>
    </row>
    <row r="10">
      <c r="A10" s="25" t="s">
        <v>38</v>
      </c>
      <c r="B10" s="26">
        <f>'i_C21E23&amp;31'!B10</f>
        <v>1217080</v>
      </c>
      <c r="C10" s="26">
        <v>1031395.6115899996</v>
      </c>
      <c r="D10" s="31">
        <f t="shared" si="1"/>
        <v>84.74345249</v>
      </c>
      <c r="E10" s="26">
        <v>172196.60343</v>
      </c>
      <c r="F10" s="31">
        <f t="shared" si="2"/>
        <v>14.14833893</v>
      </c>
      <c r="G10" s="26">
        <v>59284.56249</v>
      </c>
      <c r="H10" s="31">
        <f t="shared" si="3"/>
        <v>4.871048944</v>
      </c>
      <c r="I10" s="26">
        <v>0.0</v>
      </c>
      <c r="J10" s="31">
        <f t="shared" si="4"/>
        <v>0</v>
      </c>
      <c r="K10" s="26">
        <v>4037772.0</v>
      </c>
      <c r="L10" s="26">
        <v>3961415.0</v>
      </c>
      <c r="M10" s="31">
        <f t="shared" si="5"/>
        <v>98.10893235</v>
      </c>
      <c r="N10" s="26">
        <v>332445.0</v>
      </c>
      <c r="O10" s="31">
        <f t="shared" si="6"/>
        <v>8.233377219</v>
      </c>
      <c r="P10" s="26">
        <v>232265.0</v>
      </c>
      <c r="Q10" s="31">
        <f t="shared" si="7"/>
        <v>5.752305975</v>
      </c>
      <c r="R10" s="26">
        <v>1758.0</v>
      </c>
      <c r="S10" s="31">
        <f t="shared" si="8"/>
        <v>0.04353886252</v>
      </c>
    </row>
    <row r="11">
      <c r="A11" s="25" t="s">
        <v>41</v>
      </c>
      <c r="B11" s="26">
        <f>'i_C21E23&amp;31'!B11</f>
        <v>94428</v>
      </c>
      <c r="C11" s="26">
        <v>42059.84246</v>
      </c>
      <c r="D11" s="31">
        <f t="shared" si="1"/>
        <v>44.54170634</v>
      </c>
      <c r="E11" s="26">
        <v>31065.648852000006</v>
      </c>
      <c r="F11" s="31">
        <f t="shared" si="2"/>
        <v>32.89876822</v>
      </c>
      <c r="G11" s="26">
        <v>28762.547599999998</v>
      </c>
      <c r="H11" s="31">
        <f t="shared" si="3"/>
        <v>30.45976575</v>
      </c>
      <c r="I11" s="26">
        <v>3342.56274</v>
      </c>
      <c r="J11" s="31">
        <f t="shared" si="4"/>
        <v>3.539800419</v>
      </c>
      <c r="K11" s="26">
        <v>328975.0</v>
      </c>
      <c r="L11" s="26">
        <v>274472.0</v>
      </c>
      <c r="M11" s="31">
        <f t="shared" si="5"/>
        <v>83.43247967</v>
      </c>
      <c r="N11" s="26">
        <v>85071.0</v>
      </c>
      <c r="O11" s="31">
        <f t="shared" si="6"/>
        <v>25.85941181</v>
      </c>
      <c r="P11" s="26">
        <v>39570.0</v>
      </c>
      <c r="Q11" s="31">
        <f t="shared" si="7"/>
        <v>12.02826963</v>
      </c>
      <c r="R11" s="26">
        <v>1718.0</v>
      </c>
      <c r="S11" s="31">
        <f t="shared" si="8"/>
        <v>0.5222281328</v>
      </c>
    </row>
    <row r="12">
      <c r="A12" s="25" t="s">
        <v>43</v>
      </c>
      <c r="B12" s="26">
        <f>'i_C21E23&amp;31'!B12</f>
        <v>259922</v>
      </c>
      <c r="C12" s="26">
        <v>115286.7894</v>
      </c>
      <c r="D12" s="31">
        <f t="shared" si="1"/>
        <v>44.35437916</v>
      </c>
      <c r="E12" s="26">
        <v>32509.315</v>
      </c>
      <c r="F12" s="31">
        <f t="shared" si="2"/>
        <v>12.50733489</v>
      </c>
      <c r="G12" s="26">
        <v>20245.13607</v>
      </c>
      <c r="H12" s="31">
        <f t="shared" si="3"/>
        <v>7.788927474</v>
      </c>
      <c r="I12" s="26">
        <v>10672.75489</v>
      </c>
      <c r="J12" s="31">
        <f t="shared" si="4"/>
        <v>4.106137568</v>
      </c>
      <c r="K12" s="26">
        <v>1189891.0</v>
      </c>
      <c r="L12" s="26">
        <v>1070814.0</v>
      </c>
      <c r="M12" s="31">
        <f t="shared" si="5"/>
        <v>89.99261277</v>
      </c>
      <c r="N12" s="26">
        <v>187702.0</v>
      </c>
      <c r="O12" s="31">
        <f t="shared" si="6"/>
        <v>15.77472222</v>
      </c>
      <c r="P12" s="26">
        <v>70514.0</v>
      </c>
      <c r="Q12" s="31">
        <f t="shared" si="7"/>
        <v>5.926089028</v>
      </c>
      <c r="R12" s="26">
        <v>20105.0</v>
      </c>
      <c r="S12" s="31">
        <f t="shared" si="8"/>
        <v>1.689650565</v>
      </c>
    </row>
    <row r="13">
      <c r="A13" s="25" t="s">
        <v>44</v>
      </c>
      <c r="B13" s="26">
        <f>'i_C21E23&amp;31'!B13</f>
        <v>133794</v>
      </c>
      <c r="C13" s="26">
        <v>26729.848601</v>
      </c>
      <c r="D13" s="31">
        <f t="shared" si="1"/>
        <v>19.97836121</v>
      </c>
      <c r="E13" s="26">
        <v>12235.509317999999</v>
      </c>
      <c r="F13" s="31">
        <f t="shared" si="2"/>
        <v>9.14503589</v>
      </c>
      <c r="G13" s="26">
        <v>12213.888739999999</v>
      </c>
      <c r="H13" s="31">
        <f t="shared" si="3"/>
        <v>9.128876287</v>
      </c>
      <c r="I13" s="26">
        <v>0.0</v>
      </c>
      <c r="J13" s="31">
        <f t="shared" si="4"/>
        <v>0</v>
      </c>
      <c r="K13" s="26">
        <v>791574.0</v>
      </c>
      <c r="L13" s="26">
        <v>549293.0</v>
      </c>
      <c r="M13" s="31">
        <f t="shared" si="5"/>
        <v>69.39250152</v>
      </c>
      <c r="N13" s="26">
        <v>83957.0</v>
      </c>
      <c r="O13" s="31">
        <f t="shared" si="6"/>
        <v>10.60633624</v>
      </c>
      <c r="P13" s="26">
        <v>97970.0</v>
      </c>
      <c r="Q13" s="31">
        <f t="shared" si="7"/>
        <v>12.37660661</v>
      </c>
      <c r="R13" s="26">
        <v>113400.0</v>
      </c>
      <c r="S13" s="31">
        <f t="shared" si="8"/>
        <v>14.32588741</v>
      </c>
    </row>
    <row r="14">
      <c r="A14" s="25" t="s">
        <v>46</v>
      </c>
      <c r="B14" s="26">
        <f>'i_C21E23&amp;31'!B14</f>
        <v>733207</v>
      </c>
      <c r="C14" s="26">
        <v>540990.03945</v>
      </c>
      <c r="D14" s="31">
        <f t="shared" si="1"/>
        <v>73.78408</v>
      </c>
      <c r="E14" s="26">
        <v>103241.61891000002</v>
      </c>
      <c r="F14" s="31">
        <f t="shared" si="2"/>
        <v>14.08082832</v>
      </c>
      <c r="G14" s="26">
        <v>60626.204459999986</v>
      </c>
      <c r="H14" s="31">
        <f t="shared" si="3"/>
        <v>8.268634159</v>
      </c>
      <c r="I14" s="26">
        <v>58121.32621000001</v>
      </c>
      <c r="J14" s="31">
        <f t="shared" si="4"/>
        <v>7.927000998</v>
      </c>
      <c r="K14" s="26">
        <v>3838538.0</v>
      </c>
      <c r="L14" s="26">
        <v>3532335.0</v>
      </c>
      <c r="M14" s="31">
        <f t="shared" si="5"/>
        <v>92.02292644</v>
      </c>
      <c r="N14" s="26">
        <v>692816.0</v>
      </c>
      <c r="O14" s="31">
        <f t="shared" si="6"/>
        <v>18.0489551</v>
      </c>
      <c r="P14" s="26">
        <v>96351.0</v>
      </c>
      <c r="Q14" s="31">
        <f t="shared" si="7"/>
        <v>2.510096292</v>
      </c>
      <c r="R14" s="26">
        <v>12280.0</v>
      </c>
      <c r="S14" s="31">
        <f t="shared" si="8"/>
        <v>0.3199134671</v>
      </c>
    </row>
    <row r="15">
      <c r="A15" s="25" t="s">
        <v>48</v>
      </c>
      <c r="B15" s="26">
        <f>'i_C21E23&amp;31'!B15</f>
        <v>1344298</v>
      </c>
      <c r="C15" s="26">
        <v>988528.6001799995</v>
      </c>
      <c r="D15" s="31">
        <f t="shared" si="1"/>
        <v>73.53493051</v>
      </c>
      <c r="E15" s="26">
        <v>359115.69263000006</v>
      </c>
      <c r="F15" s="31">
        <f t="shared" si="2"/>
        <v>26.71399441</v>
      </c>
      <c r="G15" s="26">
        <v>90513.20330000001</v>
      </c>
      <c r="H15" s="31">
        <f t="shared" si="3"/>
        <v>6.733120432</v>
      </c>
      <c r="I15" s="26">
        <v>28009.6115</v>
      </c>
      <c r="J15" s="31">
        <f t="shared" si="4"/>
        <v>2.083586489</v>
      </c>
      <c r="K15" s="26">
        <v>4019366.0</v>
      </c>
      <c r="L15" s="26">
        <v>3710790.0</v>
      </c>
      <c r="M15" s="31">
        <f t="shared" si="5"/>
        <v>92.32276931</v>
      </c>
      <c r="N15" s="26">
        <v>396949.0</v>
      </c>
      <c r="O15" s="31">
        <f t="shared" si="6"/>
        <v>9.875910778</v>
      </c>
      <c r="P15" s="26">
        <v>213969.0</v>
      </c>
      <c r="Q15" s="31">
        <f t="shared" si="7"/>
        <v>5.32345151</v>
      </c>
      <c r="R15" s="26">
        <v>7081.0</v>
      </c>
      <c r="S15" s="31">
        <f t="shared" si="8"/>
        <v>0.176172063</v>
      </c>
    </row>
    <row r="16">
      <c r="A16" s="25" t="s">
        <v>50</v>
      </c>
      <c r="B16" s="26">
        <f>'i_C21E23&amp;31'!B16</f>
        <v>126433</v>
      </c>
      <c r="C16" s="26">
        <v>69214.50789000001</v>
      </c>
      <c r="D16" s="31">
        <f t="shared" si="1"/>
        <v>54.74402086</v>
      </c>
      <c r="E16" s="26">
        <v>12636.691920000001</v>
      </c>
      <c r="F16" s="31">
        <f t="shared" si="2"/>
        <v>9.994773453</v>
      </c>
      <c r="G16" s="26">
        <v>23775.099059999997</v>
      </c>
      <c r="H16" s="31">
        <f t="shared" si="3"/>
        <v>18.80450441</v>
      </c>
      <c r="I16" s="26">
        <v>2878.0764599999998</v>
      </c>
      <c r="J16" s="31">
        <f t="shared" si="4"/>
        <v>2.276364921</v>
      </c>
      <c r="K16" s="26">
        <v>629725.0</v>
      </c>
      <c r="L16" s="26">
        <v>577916.0</v>
      </c>
      <c r="M16" s="31">
        <f t="shared" si="5"/>
        <v>91.77275795</v>
      </c>
      <c r="N16" s="26">
        <v>23052.0</v>
      </c>
      <c r="O16" s="31">
        <f t="shared" si="6"/>
        <v>3.66064552</v>
      </c>
      <c r="P16" s="26">
        <v>41047.0</v>
      </c>
      <c r="Q16" s="31">
        <f t="shared" si="7"/>
        <v>6.51824209</v>
      </c>
      <c r="R16" s="26">
        <v>12670.0</v>
      </c>
      <c r="S16" s="31">
        <f t="shared" si="8"/>
        <v>2.01198936</v>
      </c>
    </row>
    <row r="17">
      <c r="A17" s="25" t="s">
        <v>51</v>
      </c>
      <c r="B17" s="26">
        <f>'i_C21E23&amp;31'!B17</f>
        <v>140889</v>
      </c>
      <c r="C17" s="26">
        <v>59458.253899999996</v>
      </c>
      <c r="D17" s="31">
        <f t="shared" si="1"/>
        <v>42.2021974</v>
      </c>
      <c r="E17" s="26">
        <v>35520.20012</v>
      </c>
      <c r="F17" s="31">
        <f t="shared" si="2"/>
        <v>25.21147863</v>
      </c>
      <c r="G17" s="26">
        <v>10334.95501</v>
      </c>
      <c r="H17" s="31">
        <f t="shared" si="3"/>
        <v>7.335530105</v>
      </c>
      <c r="I17" s="26">
        <v>9961.502489999999</v>
      </c>
      <c r="J17" s="31">
        <f t="shared" si="4"/>
        <v>7.070461491</v>
      </c>
      <c r="K17" s="26">
        <v>1381518.0</v>
      </c>
      <c r="L17" s="26">
        <v>1322529.0</v>
      </c>
      <c r="M17" s="31">
        <f t="shared" si="5"/>
        <v>95.73013164</v>
      </c>
      <c r="N17" s="26">
        <v>28292.0</v>
      </c>
      <c r="O17" s="31">
        <f t="shared" si="6"/>
        <v>2.047892246</v>
      </c>
      <c r="P17" s="26">
        <v>47332.0</v>
      </c>
      <c r="Q17" s="31">
        <f t="shared" si="7"/>
        <v>3.426086377</v>
      </c>
      <c r="R17" s="26">
        <v>44347.0</v>
      </c>
      <c r="S17" s="31">
        <f t="shared" si="8"/>
        <v>3.210019703</v>
      </c>
    </row>
    <row r="18">
      <c r="A18" s="25" t="s">
        <v>53</v>
      </c>
      <c r="B18" s="26">
        <f>'i_C21E23&amp;31'!B18</f>
        <v>223092</v>
      </c>
      <c r="C18" s="26">
        <v>85701.75476</v>
      </c>
      <c r="D18" s="31">
        <f t="shared" si="1"/>
        <v>38.41543164</v>
      </c>
      <c r="E18" s="26">
        <v>33789.67934</v>
      </c>
      <c r="F18" s="31">
        <f t="shared" si="2"/>
        <v>15.14607397</v>
      </c>
      <c r="G18" s="26">
        <v>20182.462669999997</v>
      </c>
      <c r="H18" s="31">
        <f t="shared" si="3"/>
        <v>9.04669942</v>
      </c>
      <c r="I18" s="26">
        <v>0.0</v>
      </c>
      <c r="J18" s="31">
        <f t="shared" si="4"/>
        <v>0</v>
      </c>
      <c r="K18" s="26">
        <v>1374053.0</v>
      </c>
      <c r="L18" s="26">
        <v>1174457.0</v>
      </c>
      <c r="M18" s="31">
        <f t="shared" si="5"/>
        <v>85.47392277</v>
      </c>
      <c r="N18" s="26">
        <v>147368.0</v>
      </c>
      <c r="O18" s="31">
        <f t="shared" si="6"/>
        <v>10.72505937</v>
      </c>
      <c r="P18" s="26">
        <v>130297.0</v>
      </c>
      <c r="Q18" s="31">
        <f t="shared" si="7"/>
        <v>9.482676432</v>
      </c>
      <c r="R18" s="26">
        <v>34161.0</v>
      </c>
      <c r="S18" s="31">
        <f t="shared" si="8"/>
        <v>2.486148642</v>
      </c>
    </row>
    <row r="19">
      <c r="A19" s="25" t="s">
        <v>54</v>
      </c>
      <c r="B19" s="26">
        <f>'i_C21E23&amp;31'!B19</f>
        <v>167413</v>
      </c>
      <c r="C19" s="26">
        <v>145327.09091999996</v>
      </c>
      <c r="D19" s="31">
        <f t="shared" si="1"/>
        <v>86.80753043</v>
      </c>
      <c r="E19" s="26">
        <v>26706.59667</v>
      </c>
      <c r="F19" s="31">
        <f t="shared" si="2"/>
        <v>15.95252261</v>
      </c>
      <c r="G19" s="26">
        <v>10558.888750000002</v>
      </c>
      <c r="H19" s="31">
        <f t="shared" si="3"/>
        <v>6.307090101</v>
      </c>
      <c r="I19" s="26">
        <v>0.0</v>
      </c>
      <c r="J19" s="31">
        <f t="shared" si="4"/>
        <v>0</v>
      </c>
      <c r="K19" s="26">
        <v>1497769.0</v>
      </c>
      <c r="L19" s="26">
        <v>1200419.0</v>
      </c>
      <c r="M19" s="31">
        <f t="shared" si="5"/>
        <v>80.14713884</v>
      </c>
      <c r="N19" s="26">
        <v>148004.0</v>
      </c>
      <c r="O19" s="31">
        <f t="shared" si="6"/>
        <v>9.881630612</v>
      </c>
      <c r="P19" s="26">
        <v>277178.0</v>
      </c>
      <c r="Q19" s="31">
        <f t="shared" si="7"/>
        <v>18.50605801</v>
      </c>
      <c r="R19" s="26">
        <v>6916.0</v>
      </c>
      <c r="S19" s="31">
        <f t="shared" si="8"/>
        <v>0.461753448</v>
      </c>
    </row>
    <row r="20">
      <c r="A20" s="25" t="s">
        <v>56</v>
      </c>
      <c r="B20" s="26">
        <f>'i_C21E23&amp;31'!B20</f>
        <v>155309</v>
      </c>
      <c r="C20" s="26">
        <v>77796.43473</v>
      </c>
      <c r="D20" s="31">
        <f t="shared" si="1"/>
        <v>50.09138861</v>
      </c>
      <c r="E20" s="26">
        <v>33388.73927500001</v>
      </c>
      <c r="F20" s="31">
        <f t="shared" si="2"/>
        <v>21.49826428</v>
      </c>
      <c r="G20" s="26">
        <v>12093.626103999999</v>
      </c>
      <c r="H20" s="31">
        <f t="shared" si="3"/>
        <v>7.786816027</v>
      </c>
      <c r="I20" s="26">
        <v>1818.53356</v>
      </c>
      <c r="J20" s="31">
        <f t="shared" si="4"/>
        <v>1.170913186</v>
      </c>
      <c r="K20" s="26">
        <v>811117.0</v>
      </c>
      <c r="L20" s="26">
        <v>761306.0</v>
      </c>
      <c r="M20" s="31">
        <f t="shared" si="5"/>
        <v>93.85896239</v>
      </c>
      <c r="N20" s="26">
        <v>27686.0</v>
      </c>
      <c r="O20" s="31">
        <f t="shared" si="6"/>
        <v>3.413317684</v>
      </c>
      <c r="P20" s="26">
        <v>54298.0</v>
      </c>
      <c r="Q20" s="31">
        <f t="shared" si="7"/>
        <v>6.694225371</v>
      </c>
      <c r="R20" s="26">
        <v>5218.0</v>
      </c>
      <c r="S20" s="31">
        <f t="shared" si="8"/>
        <v>0.6433103979</v>
      </c>
    </row>
    <row r="21" ht="15.75" customHeight="1">
      <c r="A21" s="25" t="s">
        <v>57</v>
      </c>
      <c r="B21" s="26">
        <f>'i_C21E23&amp;31'!B21</f>
        <v>58054</v>
      </c>
      <c r="C21" s="26">
        <v>29850.322830000005</v>
      </c>
      <c r="D21" s="31">
        <f t="shared" si="1"/>
        <v>51.41820173</v>
      </c>
      <c r="E21" s="26">
        <v>10730.618489999999</v>
      </c>
      <c r="F21" s="31">
        <f t="shared" si="2"/>
        <v>18.48385725</v>
      </c>
      <c r="G21" s="26">
        <v>7947.19016</v>
      </c>
      <c r="H21" s="31">
        <f t="shared" si="3"/>
        <v>13.68930678</v>
      </c>
      <c r="I21" s="26">
        <v>5653.0205</v>
      </c>
      <c r="J21" s="31">
        <f t="shared" si="4"/>
        <v>9.737521101</v>
      </c>
      <c r="K21" s="26">
        <v>262432.0</v>
      </c>
      <c r="L21" s="26">
        <v>227306.0</v>
      </c>
      <c r="M21" s="31">
        <f t="shared" si="5"/>
        <v>86.61519937</v>
      </c>
      <c r="N21" s="26">
        <v>54787.0</v>
      </c>
      <c r="O21" s="31">
        <f t="shared" si="6"/>
        <v>20.87664614</v>
      </c>
      <c r="P21" s="26">
        <v>47023.0</v>
      </c>
      <c r="Q21" s="31">
        <f t="shared" si="7"/>
        <v>17.91816547</v>
      </c>
      <c r="R21" s="26">
        <v>5964.0</v>
      </c>
      <c r="S21" s="31">
        <f t="shared" si="8"/>
        <v>2.272588709</v>
      </c>
    </row>
    <row r="22" ht="15.75" customHeight="1">
      <c r="A22" s="25" t="s">
        <v>59</v>
      </c>
      <c r="B22" s="26">
        <f>'i_C21E23&amp;31'!B22</f>
        <v>55371</v>
      </c>
      <c r="C22" s="26">
        <v>30260.4819</v>
      </c>
      <c r="D22" s="31">
        <f t="shared" si="1"/>
        <v>54.6504161</v>
      </c>
      <c r="E22" s="26">
        <v>9582.54283</v>
      </c>
      <c r="F22" s="31">
        <f t="shared" si="2"/>
        <v>17.30606785</v>
      </c>
      <c r="G22" s="26">
        <v>2035.6003699999999</v>
      </c>
      <c r="H22" s="31">
        <f t="shared" si="3"/>
        <v>3.676293312</v>
      </c>
      <c r="I22" s="26">
        <v>229.74002</v>
      </c>
      <c r="J22" s="31">
        <f t="shared" si="4"/>
        <v>0.4149103682</v>
      </c>
      <c r="K22" s="26">
        <v>674428.0</v>
      </c>
      <c r="L22" s="26">
        <v>667510.0</v>
      </c>
      <c r="M22" s="31">
        <f t="shared" si="5"/>
        <v>98.97424188</v>
      </c>
      <c r="N22" s="26">
        <v>19781.0</v>
      </c>
      <c r="O22" s="31">
        <f t="shared" si="6"/>
        <v>2.933003968</v>
      </c>
      <c r="P22" s="26">
        <v>18212.0</v>
      </c>
      <c r="Q22" s="31">
        <f t="shared" si="7"/>
        <v>2.700362381</v>
      </c>
      <c r="R22" s="26">
        <v>0.0</v>
      </c>
      <c r="S22" s="31">
        <f t="shared" si="8"/>
        <v>0</v>
      </c>
    </row>
    <row r="23" ht="15.75" customHeight="1">
      <c r="A23" s="25" t="s">
        <v>60</v>
      </c>
      <c r="B23" s="26">
        <f>'i_C21E23&amp;31'!B23</f>
        <v>93572</v>
      </c>
      <c r="C23" s="26">
        <v>43586.52633</v>
      </c>
      <c r="D23" s="31">
        <f t="shared" si="1"/>
        <v>46.58073604</v>
      </c>
      <c r="E23" s="26">
        <v>14267.4575</v>
      </c>
      <c r="F23" s="31">
        <f t="shared" si="2"/>
        <v>15.24757139</v>
      </c>
      <c r="G23" s="26">
        <v>18789.687980000002</v>
      </c>
      <c r="H23" s="31">
        <f t="shared" si="3"/>
        <v>20.08045995</v>
      </c>
      <c r="I23" s="26">
        <v>2705.1395</v>
      </c>
      <c r="J23" s="31">
        <f t="shared" si="4"/>
        <v>2.890971124</v>
      </c>
      <c r="K23" s="26">
        <v>462806.0</v>
      </c>
      <c r="L23" s="26">
        <v>398325.0</v>
      </c>
      <c r="M23" s="31">
        <f t="shared" si="5"/>
        <v>86.06738028</v>
      </c>
      <c r="N23" s="26">
        <v>58648.0</v>
      </c>
      <c r="O23" s="31">
        <f t="shared" si="6"/>
        <v>12.6722644</v>
      </c>
      <c r="P23" s="26">
        <v>82824.0</v>
      </c>
      <c r="Q23" s="31">
        <f t="shared" si="7"/>
        <v>17.89605148</v>
      </c>
      <c r="R23" s="26">
        <v>6702.0</v>
      </c>
      <c r="S23" s="31">
        <f t="shared" si="8"/>
        <v>1.448122972</v>
      </c>
    </row>
    <row r="24" ht="15.75" customHeight="1">
      <c r="A24" s="25" t="s">
        <v>63</v>
      </c>
      <c r="B24" s="26">
        <f>'i_C21E23&amp;31'!B24</f>
        <v>140430</v>
      </c>
      <c r="C24" s="26">
        <v>86633.94722000002</v>
      </c>
      <c r="D24" s="31">
        <f t="shared" si="1"/>
        <v>61.69190858</v>
      </c>
      <c r="E24" s="26">
        <v>25582.75477</v>
      </c>
      <c r="F24" s="31">
        <f t="shared" si="2"/>
        <v>18.21744269</v>
      </c>
      <c r="G24" s="26">
        <v>39872.789099999995</v>
      </c>
      <c r="H24" s="31">
        <f t="shared" si="3"/>
        <v>28.39335548</v>
      </c>
      <c r="I24" s="26">
        <v>0.0</v>
      </c>
      <c r="J24" s="31">
        <f t="shared" si="4"/>
        <v>0</v>
      </c>
      <c r="K24" s="26">
        <v>661052.0</v>
      </c>
      <c r="L24" s="26">
        <v>567378.0</v>
      </c>
      <c r="M24" s="31">
        <f t="shared" si="5"/>
        <v>85.82955653</v>
      </c>
      <c r="N24" s="26">
        <v>77221.0</v>
      </c>
      <c r="O24" s="31">
        <f t="shared" si="6"/>
        <v>11.68153186</v>
      </c>
      <c r="P24" s="26">
        <v>83367.0</v>
      </c>
      <c r="Q24" s="31">
        <f t="shared" si="7"/>
        <v>12.61126205</v>
      </c>
      <c r="R24" s="26">
        <v>6120.0</v>
      </c>
      <c r="S24" s="31">
        <f t="shared" si="8"/>
        <v>0.9257970629</v>
      </c>
    </row>
    <row r="25" ht="15.75" customHeight="1">
      <c r="A25" s="25" t="s">
        <v>64</v>
      </c>
      <c r="B25" s="26">
        <f>'i_C21E23&amp;31'!B25</f>
        <v>46686</v>
      </c>
      <c r="C25" s="26">
        <v>13254.054110000001</v>
      </c>
      <c r="D25" s="31">
        <f t="shared" si="1"/>
        <v>28.38978304</v>
      </c>
      <c r="E25" s="26">
        <v>1842.7770999999998</v>
      </c>
      <c r="F25" s="31">
        <f t="shared" si="2"/>
        <v>3.947172814</v>
      </c>
      <c r="G25" s="26">
        <v>2595.1752399999996</v>
      </c>
      <c r="H25" s="31">
        <f t="shared" si="3"/>
        <v>5.558786874</v>
      </c>
      <c r="I25" s="26">
        <v>0.0</v>
      </c>
      <c r="J25" s="31">
        <f t="shared" si="4"/>
        <v>0</v>
      </c>
      <c r="K25" s="26">
        <v>425995.0</v>
      </c>
      <c r="L25" s="26">
        <v>295560.0</v>
      </c>
      <c r="M25" s="31">
        <f t="shared" si="5"/>
        <v>69.38109602</v>
      </c>
      <c r="N25" s="26">
        <v>55535.0</v>
      </c>
      <c r="O25" s="31">
        <f t="shared" si="6"/>
        <v>13.03653799</v>
      </c>
      <c r="P25" s="26">
        <v>70968.0</v>
      </c>
      <c r="Q25" s="31">
        <f t="shared" si="7"/>
        <v>16.65935046</v>
      </c>
      <c r="R25" s="26">
        <v>70267.0</v>
      </c>
      <c r="S25" s="31">
        <f t="shared" si="8"/>
        <v>16.49479454</v>
      </c>
    </row>
    <row r="26" ht="15.75" customHeight="1">
      <c r="A26" s="25" t="s">
        <v>65</v>
      </c>
      <c r="B26" s="26">
        <f>'i_C21E23&amp;31'!B26</f>
        <v>10666</v>
      </c>
      <c r="C26" s="26">
        <v>0.0</v>
      </c>
      <c r="D26" s="31">
        <f t="shared" si="1"/>
        <v>0</v>
      </c>
      <c r="E26" s="26">
        <v>2082.30011</v>
      </c>
      <c r="F26" s="31">
        <f t="shared" si="2"/>
        <v>19.52278371</v>
      </c>
      <c r="G26" s="26">
        <v>2223.64194</v>
      </c>
      <c r="H26" s="31">
        <f t="shared" si="3"/>
        <v>20.84794618</v>
      </c>
      <c r="I26" s="26">
        <v>0.0</v>
      </c>
      <c r="J26" s="31">
        <f t="shared" si="4"/>
        <v>0</v>
      </c>
      <c r="K26" s="26">
        <v>182257.0</v>
      </c>
      <c r="L26" s="26">
        <v>79883.0</v>
      </c>
      <c r="M26" s="31">
        <f t="shared" si="5"/>
        <v>43.82986662</v>
      </c>
      <c r="N26" s="26">
        <v>52374.0</v>
      </c>
      <c r="O26" s="31">
        <f t="shared" si="6"/>
        <v>28.73634483</v>
      </c>
      <c r="P26" s="26">
        <v>114870.0</v>
      </c>
      <c r="Q26" s="31">
        <f t="shared" si="7"/>
        <v>63.02638582</v>
      </c>
      <c r="R26" s="26">
        <v>7408.0</v>
      </c>
      <c r="S26" s="31">
        <f t="shared" si="8"/>
        <v>4.064590112</v>
      </c>
    </row>
    <row r="27" ht="15.75" customHeight="1">
      <c r="A27" s="28"/>
      <c r="B27" s="28"/>
      <c r="C27" s="28"/>
      <c r="D27" s="28"/>
      <c r="E27" s="28"/>
      <c r="F27" s="28"/>
      <c r="G27" s="28"/>
      <c r="H27" s="28"/>
      <c r="I27" s="28"/>
      <c r="J27" s="28"/>
      <c r="K27" s="28"/>
      <c r="L27" s="28"/>
      <c r="M27" s="28"/>
      <c r="N27" s="28"/>
      <c r="O27" s="28"/>
      <c r="P27" s="28"/>
      <c r="Q27" s="28"/>
      <c r="R27" s="28"/>
      <c r="S27" s="28"/>
    </row>
    <row r="28" ht="15.75" customHeight="1">
      <c r="A28" s="9"/>
      <c r="B28" s="9"/>
      <c r="C28" s="9"/>
      <c r="D28" s="9"/>
      <c r="E28" s="9"/>
      <c r="F28" s="9"/>
      <c r="G28" s="9"/>
      <c r="H28" s="9"/>
      <c r="I28" s="9"/>
      <c r="J28" s="9"/>
      <c r="K28" s="9"/>
      <c r="L28" s="9"/>
      <c r="M28" s="9"/>
      <c r="N28" s="9"/>
      <c r="O28" s="9"/>
      <c r="P28" s="9"/>
      <c r="Q28" s="9"/>
      <c r="R28" s="9"/>
      <c r="S28" s="9"/>
    </row>
    <row r="29" ht="15.75" customHeight="1">
      <c r="A29" s="29" t="s">
        <v>69</v>
      </c>
      <c r="B29" s="29"/>
      <c r="C29" s="29"/>
      <c r="D29" s="29"/>
      <c r="E29" s="29"/>
      <c r="F29" s="29"/>
      <c r="G29" s="29"/>
      <c r="H29" s="29"/>
      <c r="I29" s="29"/>
      <c r="J29" s="29"/>
      <c r="K29" s="29"/>
      <c r="L29" s="29"/>
      <c r="M29" s="29"/>
      <c r="N29" s="29"/>
      <c r="O29" s="29"/>
      <c r="P29" s="29"/>
      <c r="Q29" s="29"/>
      <c r="R29" s="29"/>
      <c r="S29" s="29"/>
    </row>
    <row r="30" ht="15.75" customHeight="1">
      <c r="A30" s="29" t="s">
        <v>72</v>
      </c>
      <c r="B30" s="29"/>
      <c r="C30" s="29"/>
      <c r="D30" s="29"/>
      <c r="E30" s="29"/>
      <c r="F30" s="29"/>
      <c r="G30" s="29"/>
      <c r="H30" s="29"/>
      <c r="I30" s="29"/>
      <c r="J30" s="29"/>
      <c r="K30" s="29"/>
      <c r="L30" s="29"/>
      <c r="M30" s="29"/>
      <c r="N30" s="29"/>
      <c r="O30" s="29"/>
      <c r="P30" s="29"/>
      <c r="Q30" s="29"/>
      <c r="R30" s="29"/>
      <c r="S30" s="29"/>
    </row>
    <row r="31" ht="15.75" customHeight="1">
      <c r="A31" s="29" t="s">
        <v>438</v>
      </c>
      <c r="B31" s="29"/>
      <c r="C31" s="29"/>
      <c r="D31" s="29"/>
      <c r="E31" s="29"/>
      <c r="F31" s="29"/>
      <c r="G31" s="29"/>
      <c r="H31" s="29"/>
      <c r="I31" s="29"/>
      <c r="J31" s="29"/>
      <c r="K31" s="29"/>
      <c r="L31" s="29"/>
      <c r="M31" s="29"/>
      <c r="N31" s="29"/>
      <c r="O31" s="29"/>
      <c r="P31" s="29"/>
      <c r="Q31" s="29"/>
      <c r="R31" s="29"/>
      <c r="S31" s="29"/>
    </row>
    <row r="32" ht="15.75" customHeight="1">
      <c r="A32" s="32" t="s">
        <v>76</v>
      </c>
    </row>
    <row r="33" ht="15.75" customHeight="1">
      <c r="A33" s="32"/>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7">
    <mergeCell ref="C6:D6"/>
    <mergeCell ref="E6:F6"/>
    <mergeCell ref="G6:H6"/>
    <mergeCell ref="I6:J6"/>
    <mergeCell ref="L6:M6"/>
    <mergeCell ref="N6:O6"/>
    <mergeCell ref="P6:Q6"/>
    <mergeCell ref="R6:S6"/>
    <mergeCell ref="A32:S32"/>
    <mergeCell ref="A33:S33"/>
    <mergeCell ref="A4:A7"/>
    <mergeCell ref="B4:J4"/>
    <mergeCell ref="K4:S4"/>
    <mergeCell ref="B5:B7"/>
    <mergeCell ref="C5:J5"/>
    <mergeCell ref="K5:K7"/>
    <mergeCell ref="L5:S5"/>
  </mergeCells>
  <hyperlinks>
    <hyperlink display="BACK TO LIST" location="LIST!A1" ref="A1"/>
  </hyperlinks>
  <printOptions/>
  <pageMargins bottom="0.75" footer="0.0" header="0.0" left="0.7" right="0.7" top="0.75"/>
  <pageSetup paperSize="9" scale="63" orientation="portrait"/>
  <drawing r:id="rId1"/>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9"/>
    <pageSetUpPr/>
  </sheetPr>
  <sheetViews>
    <sheetView workbookViewId="0"/>
  </sheetViews>
  <sheetFormatPr customHeight="1" defaultColWidth="12.63" defaultRowHeight="15.0"/>
  <cols>
    <col customWidth="1" min="1" max="1" width="39.0"/>
    <col customWidth="1" min="2" max="2" width="18.38"/>
    <col customWidth="1" min="3" max="12" width="14.0"/>
    <col customWidth="1" min="13" max="13" width="18.38"/>
    <col customWidth="1" min="14" max="23" width="14.0"/>
    <col customWidth="1" min="24" max="26" width="8.63"/>
  </cols>
  <sheetData>
    <row r="1">
      <c r="A1" s="5" t="s">
        <v>1</v>
      </c>
      <c r="B1" s="5"/>
      <c r="C1" s="5"/>
      <c r="D1" s="5"/>
      <c r="E1" s="5"/>
      <c r="F1" s="5"/>
      <c r="G1" s="5"/>
      <c r="H1" s="5"/>
      <c r="I1" s="5"/>
      <c r="J1" s="5"/>
      <c r="K1" s="5"/>
      <c r="L1" s="5"/>
    </row>
    <row r="2" ht="15.0" customHeight="1">
      <c r="A2" s="6" t="s">
        <v>433</v>
      </c>
      <c r="B2" s="6"/>
      <c r="C2" s="6"/>
      <c r="D2" s="6"/>
      <c r="E2" s="6"/>
      <c r="F2" s="6"/>
      <c r="G2" s="6"/>
      <c r="H2" s="6"/>
      <c r="I2" s="6"/>
      <c r="J2" s="6"/>
      <c r="K2" s="6"/>
      <c r="L2" s="6"/>
      <c r="M2" s="6"/>
      <c r="N2" s="6"/>
      <c r="O2" s="6"/>
      <c r="P2" s="53"/>
      <c r="Q2" s="53"/>
      <c r="R2" s="53"/>
      <c r="S2" s="53"/>
      <c r="V2" s="53"/>
      <c r="W2" s="53"/>
    </row>
    <row r="3">
      <c r="A3" s="8"/>
      <c r="B3" s="8"/>
      <c r="C3" s="8"/>
      <c r="D3" s="8"/>
      <c r="E3" s="8"/>
      <c r="F3" s="8"/>
      <c r="G3" s="8"/>
      <c r="H3" s="8"/>
      <c r="I3" s="8"/>
      <c r="J3" s="8"/>
      <c r="K3" s="8"/>
      <c r="L3" s="8"/>
      <c r="M3" s="9"/>
      <c r="N3" s="9"/>
      <c r="O3" s="9"/>
      <c r="P3" s="9"/>
      <c r="Q3" s="9"/>
      <c r="R3" s="9"/>
      <c r="S3" s="9"/>
      <c r="T3" s="9"/>
      <c r="U3" s="9"/>
      <c r="V3" s="9"/>
      <c r="W3" s="9"/>
    </row>
    <row r="4">
      <c r="A4" s="10" t="s">
        <v>13</v>
      </c>
      <c r="B4" s="72">
        <v>2019.0</v>
      </c>
      <c r="C4" s="14"/>
      <c r="D4" s="14"/>
      <c r="E4" s="14"/>
      <c r="F4" s="14"/>
      <c r="G4" s="14"/>
      <c r="H4" s="14"/>
      <c r="I4" s="14"/>
      <c r="J4" s="14"/>
      <c r="K4" s="14"/>
      <c r="L4" s="15"/>
      <c r="M4" s="72">
        <v>2024.0</v>
      </c>
      <c r="N4" s="14"/>
      <c r="O4" s="14"/>
      <c r="P4" s="14"/>
      <c r="Q4" s="14"/>
      <c r="R4" s="14"/>
      <c r="S4" s="14"/>
      <c r="T4" s="14"/>
      <c r="U4" s="14"/>
      <c r="V4" s="14"/>
      <c r="W4" s="15"/>
    </row>
    <row r="5" ht="15.0" customHeight="1">
      <c r="A5" s="17"/>
      <c r="B5" s="21" t="s">
        <v>434</v>
      </c>
      <c r="C5" s="42" t="s">
        <v>435</v>
      </c>
      <c r="D5" s="14"/>
      <c r="E5" s="14"/>
      <c r="F5" s="14"/>
      <c r="G5" s="14"/>
      <c r="H5" s="14"/>
      <c r="I5" s="14"/>
      <c r="J5" s="14"/>
      <c r="K5" s="14"/>
      <c r="L5" s="15"/>
      <c r="M5" s="21" t="s">
        <v>423</v>
      </c>
      <c r="N5" s="42" t="s">
        <v>435</v>
      </c>
      <c r="O5" s="14"/>
      <c r="P5" s="14"/>
      <c r="Q5" s="14"/>
      <c r="R5" s="14"/>
      <c r="S5" s="14"/>
      <c r="T5" s="14"/>
      <c r="U5" s="14"/>
      <c r="V5" s="14"/>
      <c r="W5" s="15"/>
    </row>
    <row r="6" ht="60.0" customHeight="1">
      <c r="A6" s="17"/>
      <c r="B6" s="17"/>
      <c r="C6" s="13" t="s">
        <v>436</v>
      </c>
      <c r="D6" s="15"/>
      <c r="E6" s="13" t="s">
        <v>437</v>
      </c>
      <c r="F6" s="15"/>
      <c r="G6" s="13" t="s">
        <v>398</v>
      </c>
      <c r="H6" s="15"/>
      <c r="I6" s="13" t="s">
        <v>399</v>
      </c>
      <c r="J6" s="15"/>
      <c r="K6" s="13" t="s">
        <v>170</v>
      </c>
      <c r="L6" s="15"/>
      <c r="M6" s="17"/>
      <c r="N6" s="13" t="s">
        <v>436</v>
      </c>
      <c r="O6" s="15"/>
      <c r="P6" s="13" t="s">
        <v>437</v>
      </c>
      <c r="Q6" s="15"/>
      <c r="R6" s="13" t="s">
        <v>398</v>
      </c>
      <c r="S6" s="15"/>
      <c r="T6" s="13" t="s">
        <v>399</v>
      </c>
      <c r="U6" s="15"/>
      <c r="V6" s="13" t="s">
        <v>170</v>
      </c>
      <c r="W6" s="15"/>
    </row>
    <row r="7">
      <c r="A7" s="18"/>
      <c r="B7" s="18"/>
      <c r="C7" s="24" t="s">
        <v>37</v>
      </c>
      <c r="D7" s="24" t="s">
        <v>39</v>
      </c>
      <c r="E7" s="24" t="s">
        <v>37</v>
      </c>
      <c r="F7" s="24" t="s">
        <v>39</v>
      </c>
      <c r="G7" s="24" t="s">
        <v>37</v>
      </c>
      <c r="H7" s="24" t="s">
        <v>39</v>
      </c>
      <c r="I7" s="24" t="s">
        <v>37</v>
      </c>
      <c r="J7" s="24" t="s">
        <v>39</v>
      </c>
      <c r="K7" s="24" t="s">
        <v>37</v>
      </c>
      <c r="L7" s="24" t="s">
        <v>39</v>
      </c>
      <c r="M7" s="18"/>
      <c r="N7" s="24" t="s">
        <v>37</v>
      </c>
      <c r="O7" s="24" t="s">
        <v>39</v>
      </c>
      <c r="P7" s="24" t="s">
        <v>37</v>
      </c>
      <c r="Q7" s="24" t="s">
        <v>39</v>
      </c>
      <c r="R7" s="24" t="s">
        <v>37</v>
      </c>
      <c r="S7" s="24" t="s">
        <v>39</v>
      </c>
      <c r="T7" s="24" t="s">
        <v>37</v>
      </c>
      <c r="U7" s="24" t="s">
        <v>39</v>
      </c>
      <c r="V7" s="24" t="s">
        <v>37</v>
      </c>
      <c r="W7" s="24" t="s">
        <v>39</v>
      </c>
    </row>
    <row r="8">
      <c r="A8" s="16"/>
      <c r="B8" s="16"/>
      <c r="C8" s="16"/>
      <c r="D8" s="16"/>
      <c r="E8" s="16"/>
      <c r="F8" s="16"/>
      <c r="G8" s="16"/>
      <c r="H8" s="16"/>
      <c r="I8" s="16"/>
      <c r="J8" s="16"/>
      <c r="K8" s="16"/>
      <c r="L8" s="16"/>
      <c r="M8" s="20"/>
      <c r="N8" s="20"/>
      <c r="O8" s="20"/>
      <c r="P8" s="20"/>
      <c r="Q8" s="20"/>
      <c r="R8" s="20"/>
      <c r="S8" s="20"/>
      <c r="T8" s="20"/>
      <c r="U8" s="20"/>
      <c r="V8" s="20"/>
      <c r="W8" s="20"/>
    </row>
    <row r="9">
      <c r="A9" s="22" t="s">
        <v>33</v>
      </c>
      <c r="B9" s="23">
        <f>'i_C21&amp;E23&amp;34'!B9</f>
        <v>5000645</v>
      </c>
      <c r="C9" s="23">
        <v>223402.61336199995</v>
      </c>
      <c r="D9" s="27">
        <f t="shared" ref="D9:D26" si="1">(C9/$B9)*100</f>
        <v>4.467475963</v>
      </c>
      <c r="E9" s="23">
        <v>215103.88480899995</v>
      </c>
      <c r="F9" s="27">
        <f t="shared" ref="F9:F26" si="2">(E9/$B9)*100</f>
        <v>4.3015228</v>
      </c>
      <c r="G9" s="23">
        <v>449744.56425000005</v>
      </c>
      <c r="H9" s="27">
        <f t="shared" ref="H9:H26" si="3">(G9/$B9)*100</f>
        <v>8.993731094</v>
      </c>
      <c r="I9" s="23">
        <v>4021882.7956340006</v>
      </c>
      <c r="J9" s="27">
        <f t="shared" ref="J9:J26" si="4">(I9/$B9)*100</f>
        <v>80.42728079</v>
      </c>
      <c r="K9" s="23">
        <v>30060.315859999995</v>
      </c>
      <c r="L9" s="27">
        <f t="shared" ref="L9:L26" si="5">(K9/$B9)*100</f>
        <v>0.6011287716</v>
      </c>
      <c r="M9" s="23">
        <v>2.2569267E7</v>
      </c>
      <c r="N9" s="23">
        <v>979023.0</v>
      </c>
      <c r="O9" s="27">
        <f t="shared" ref="O9:O26" si="6">(N9/$M9)*100</f>
        <v>4.33785909</v>
      </c>
      <c r="P9" s="23">
        <v>6668480.0</v>
      </c>
      <c r="Q9" s="27">
        <f t="shared" ref="Q9:Q26" si="7">(P9/$M9)*100</f>
        <v>29.5467283</v>
      </c>
      <c r="R9" s="23">
        <v>735549.0</v>
      </c>
      <c r="S9" s="27">
        <f t="shared" ref="S9:S26" si="8">(R9/$M9)*100</f>
        <v>3.2590735</v>
      </c>
      <c r="T9" s="23">
        <v>2.1871169E7</v>
      </c>
      <c r="U9" s="27">
        <f t="shared" ref="U9:U26" si="9">(T9/$M9)*100</f>
        <v>96.90686454</v>
      </c>
      <c r="V9" s="23">
        <v>27757.0</v>
      </c>
      <c r="W9" s="27">
        <f t="shared" ref="W9:W26" si="10">(V9/$M9)*100</f>
        <v>0.1229858285</v>
      </c>
    </row>
    <row r="10">
      <c r="A10" s="25" t="s">
        <v>38</v>
      </c>
      <c r="B10" s="26">
        <f>'i_C21&amp;E23&amp;34'!B10</f>
        <v>1217080</v>
      </c>
      <c r="C10" s="26">
        <v>37279.309349999996</v>
      </c>
      <c r="D10" s="31">
        <f t="shared" si="1"/>
        <v>3.063012238</v>
      </c>
      <c r="E10" s="26">
        <v>67355.6068</v>
      </c>
      <c r="F10" s="31">
        <f t="shared" si="2"/>
        <v>5.53419716</v>
      </c>
      <c r="G10" s="26">
        <v>121124.39258999997</v>
      </c>
      <c r="H10" s="31">
        <f t="shared" si="3"/>
        <v>9.952048558</v>
      </c>
      <c r="I10" s="26">
        <v>1037612.1290799996</v>
      </c>
      <c r="J10" s="31">
        <f t="shared" si="4"/>
        <v>85.25422561</v>
      </c>
      <c r="K10" s="26">
        <v>4878.51954</v>
      </c>
      <c r="L10" s="31">
        <f t="shared" si="5"/>
        <v>0.4008380337</v>
      </c>
      <c r="M10" s="26">
        <v>4037772.0</v>
      </c>
      <c r="N10" s="26">
        <v>380743.0</v>
      </c>
      <c r="O10" s="31">
        <f t="shared" si="6"/>
        <v>9.42953193</v>
      </c>
      <c r="P10" s="26">
        <v>2256510.0</v>
      </c>
      <c r="Q10" s="31">
        <f t="shared" si="7"/>
        <v>55.88502768</v>
      </c>
      <c r="R10" s="26">
        <v>190025.0</v>
      </c>
      <c r="S10" s="31">
        <f t="shared" si="8"/>
        <v>4.7061845</v>
      </c>
      <c r="T10" s="26">
        <v>3775473.0</v>
      </c>
      <c r="U10" s="31">
        <f t="shared" si="9"/>
        <v>93.50386797</v>
      </c>
      <c r="V10" s="26">
        <v>0.0</v>
      </c>
      <c r="W10" s="31">
        <f t="shared" si="10"/>
        <v>0</v>
      </c>
    </row>
    <row r="11">
      <c r="A11" s="25" t="s">
        <v>41</v>
      </c>
      <c r="B11" s="26">
        <f>'i_C21&amp;E23&amp;34'!B11</f>
        <v>94428</v>
      </c>
      <c r="C11" s="26">
        <v>1583.44753</v>
      </c>
      <c r="D11" s="31">
        <f t="shared" si="1"/>
        <v>1.676883477</v>
      </c>
      <c r="E11" s="26">
        <v>576.01599</v>
      </c>
      <c r="F11" s="31">
        <f t="shared" si="2"/>
        <v>0.6100054963</v>
      </c>
      <c r="G11" s="26">
        <v>1417.2742600000001</v>
      </c>
      <c r="H11" s="31">
        <f t="shared" si="3"/>
        <v>1.500904668</v>
      </c>
      <c r="I11" s="26">
        <v>77211.36731200005</v>
      </c>
      <c r="J11" s="31">
        <f t="shared" si="4"/>
        <v>81.7674496</v>
      </c>
      <c r="K11" s="26">
        <v>11379.120379999997</v>
      </c>
      <c r="L11" s="31">
        <f t="shared" si="5"/>
        <v>12.05057862</v>
      </c>
      <c r="M11" s="26">
        <v>328975.0</v>
      </c>
      <c r="N11" s="26">
        <v>20409.0</v>
      </c>
      <c r="O11" s="31">
        <f t="shared" si="6"/>
        <v>6.20381488</v>
      </c>
      <c r="P11" s="26">
        <v>119136.0</v>
      </c>
      <c r="Q11" s="31">
        <f t="shared" si="7"/>
        <v>36.214302</v>
      </c>
      <c r="R11" s="26">
        <v>10464.0</v>
      </c>
      <c r="S11" s="31">
        <f t="shared" si="8"/>
        <v>3.180788814</v>
      </c>
      <c r="T11" s="26">
        <v>320369.0</v>
      </c>
      <c r="U11" s="31">
        <f t="shared" si="9"/>
        <v>97.38399574</v>
      </c>
      <c r="V11" s="26">
        <v>898.0</v>
      </c>
      <c r="W11" s="31">
        <f t="shared" si="10"/>
        <v>0.2729690706</v>
      </c>
    </row>
    <row r="12">
      <c r="A12" s="25" t="s">
        <v>43</v>
      </c>
      <c r="B12" s="26">
        <f>'i_C21&amp;E23&amp;34'!B12</f>
        <v>259922</v>
      </c>
      <c r="C12" s="26">
        <v>6888.60568</v>
      </c>
      <c r="D12" s="31">
        <f t="shared" si="1"/>
        <v>2.650258801</v>
      </c>
      <c r="E12" s="26">
        <v>10296.521999999999</v>
      </c>
      <c r="F12" s="31">
        <f t="shared" si="2"/>
        <v>3.961389186</v>
      </c>
      <c r="G12" s="26">
        <v>7378.672549999999</v>
      </c>
      <c r="H12" s="31">
        <f t="shared" si="3"/>
        <v>2.838802622</v>
      </c>
      <c r="I12" s="26">
        <v>150755.71842000005</v>
      </c>
      <c r="J12" s="31">
        <f t="shared" si="4"/>
        <v>58.00036873</v>
      </c>
      <c r="K12" s="26">
        <v>0.0</v>
      </c>
      <c r="L12" s="31">
        <f t="shared" si="5"/>
        <v>0</v>
      </c>
      <c r="M12" s="26">
        <v>1189891.0</v>
      </c>
      <c r="N12" s="26">
        <v>52014.0</v>
      </c>
      <c r="O12" s="31">
        <f t="shared" si="6"/>
        <v>4.371324768</v>
      </c>
      <c r="P12" s="26">
        <v>402836.0</v>
      </c>
      <c r="Q12" s="31">
        <f t="shared" si="7"/>
        <v>33.8548657</v>
      </c>
      <c r="R12" s="26">
        <v>93447.0</v>
      </c>
      <c r="S12" s="31">
        <f t="shared" si="8"/>
        <v>7.853408421</v>
      </c>
      <c r="T12" s="26">
        <v>1175912.0</v>
      </c>
      <c r="U12" s="31">
        <f t="shared" si="9"/>
        <v>98.82518651</v>
      </c>
      <c r="V12" s="26">
        <v>0.0</v>
      </c>
      <c r="W12" s="31">
        <f t="shared" si="10"/>
        <v>0</v>
      </c>
    </row>
    <row r="13">
      <c r="A13" s="25" t="s">
        <v>44</v>
      </c>
      <c r="B13" s="26">
        <f>'i_C21&amp;E23&amp;34'!B13</f>
        <v>133794</v>
      </c>
      <c r="C13" s="26">
        <v>1520.123032</v>
      </c>
      <c r="D13" s="31">
        <f t="shared" si="1"/>
        <v>1.136166818</v>
      </c>
      <c r="E13" s="26">
        <v>47.685169</v>
      </c>
      <c r="F13" s="31">
        <f t="shared" si="2"/>
        <v>0.035640738</v>
      </c>
      <c r="G13" s="26">
        <v>8385.62825</v>
      </c>
      <c r="H13" s="31">
        <f t="shared" si="3"/>
        <v>6.267566744</v>
      </c>
      <c r="I13" s="26">
        <v>41410.39318000001</v>
      </c>
      <c r="J13" s="31">
        <f t="shared" si="4"/>
        <v>30.95085966</v>
      </c>
      <c r="K13" s="26">
        <v>0.0</v>
      </c>
      <c r="L13" s="31">
        <f t="shared" si="5"/>
        <v>0</v>
      </c>
      <c r="M13" s="26">
        <v>791574.0</v>
      </c>
      <c r="N13" s="26">
        <v>22857.0</v>
      </c>
      <c r="O13" s="31">
        <f t="shared" si="6"/>
        <v>2.887537994</v>
      </c>
      <c r="P13" s="26">
        <v>144547.0</v>
      </c>
      <c r="Q13" s="31">
        <f t="shared" si="7"/>
        <v>18.26070588</v>
      </c>
      <c r="R13" s="26">
        <v>17570.0</v>
      </c>
      <c r="S13" s="31">
        <f t="shared" si="8"/>
        <v>2.219628234</v>
      </c>
      <c r="T13" s="26">
        <v>772884.0</v>
      </c>
      <c r="U13" s="31">
        <f t="shared" si="9"/>
        <v>97.63888152</v>
      </c>
      <c r="V13" s="26">
        <v>0.0</v>
      </c>
      <c r="W13" s="31">
        <f t="shared" si="10"/>
        <v>0</v>
      </c>
    </row>
    <row r="14">
      <c r="A14" s="25" t="s">
        <v>46</v>
      </c>
      <c r="B14" s="26">
        <f>'i_C21&amp;E23&amp;34'!B14</f>
        <v>733207</v>
      </c>
      <c r="C14" s="26">
        <v>45884.65357</v>
      </c>
      <c r="D14" s="31">
        <f t="shared" si="1"/>
        <v>6.25807631</v>
      </c>
      <c r="E14" s="26">
        <v>36619.733969999994</v>
      </c>
      <c r="F14" s="31">
        <f t="shared" si="2"/>
        <v>4.994460496</v>
      </c>
      <c r="G14" s="26">
        <v>17429.24658</v>
      </c>
      <c r="H14" s="31">
        <f t="shared" si="3"/>
        <v>2.377124957</v>
      </c>
      <c r="I14" s="26">
        <v>679205.4741000005</v>
      </c>
      <c r="J14" s="31">
        <f t="shared" si="4"/>
        <v>92.63488675</v>
      </c>
      <c r="K14" s="26">
        <v>0.0</v>
      </c>
      <c r="L14" s="31">
        <f t="shared" si="5"/>
        <v>0</v>
      </c>
      <c r="M14" s="26">
        <v>3838538.0</v>
      </c>
      <c r="N14" s="26">
        <v>106800.0</v>
      </c>
      <c r="O14" s="31">
        <f t="shared" si="6"/>
        <v>2.782309306</v>
      </c>
      <c r="P14" s="26">
        <v>1260782.0</v>
      </c>
      <c r="Q14" s="31">
        <f t="shared" si="7"/>
        <v>32.84536977</v>
      </c>
      <c r="R14" s="26">
        <v>71000.0</v>
      </c>
      <c r="S14" s="31">
        <f t="shared" si="8"/>
        <v>1.849662554</v>
      </c>
      <c r="T14" s="26">
        <v>3781475.0</v>
      </c>
      <c r="U14" s="31">
        <f t="shared" si="9"/>
        <v>98.51341839</v>
      </c>
      <c r="V14" s="26">
        <v>2095.0</v>
      </c>
      <c r="W14" s="31">
        <f t="shared" si="10"/>
        <v>0.05457807113</v>
      </c>
    </row>
    <row r="15">
      <c r="A15" s="25" t="s">
        <v>48</v>
      </c>
      <c r="B15" s="26">
        <f>'i_C21&amp;E23&amp;34'!B15</f>
        <v>1344298</v>
      </c>
      <c r="C15" s="26">
        <v>97844.72</v>
      </c>
      <c r="D15" s="31">
        <f t="shared" si="1"/>
        <v>7.278499261</v>
      </c>
      <c r="E15" s="26">
        <v>62421.038949999995</v>
      </c>
      <c r="F15" s="31">
        <f t="shared" si="2"/>
        <v>4.643392979</v>
      </c>
      <c r="G15" s="26">
        <v>186520.30635000003</v>
      </c>
      <c r="H15" s="31">
        <f t="shared" si="3"/>
        <v>13.87492255</v>
      </c>
      <c r="I15" s="26">
        <v>1172941.3232099994</v>
      </c>
      <c r="J15" s="31">
        <f t="shared" si="4"/>
        <v>87.25307359</v>
      </c>
      <c r="K15" s="26">
        <v>0.0</v>
      </c>
      <c r="L15" s="31">
        <f t="shared" si="5"/>
        <v>0</v>
      </c>
      <c r="M15" s="26">
        <v>4019366.0</v>
      </c>
      <c r="N15" s="26">
        <v>149346.0</v>
      </c>
      <c r="O15" s="31">
        <f t="shared" si="6"/>
        <v>3.715660629</v>
      </c>
      <c r="P15" s="26">
        <v>1213048.0</v>
      </c>
      <c r="Q15" s="31">
        <f t="shared" si="7"/>
        <v>30.18008313</v>
      </c>
      <c r="R15" s="26">
        <v>105251.0</v>
      </c>
      <c r="S15" s="31">
        <f t="shared" si="8"/>
        <v>2.618597062</v>
      </c>
      <c r="T15" s="26">
        <v>3879725.0</v>
      </c>
      <c r="U15" s="31">
        <f t="shared" si="9"/>
        <v>96.52579536</v>
      </c>
      <c r="V15" s="26">
        <v>0.0</v>
      </c>
      <c r="W15" s="31">
        <f t="shared" si="10"/>
        <v>0</v>
      </c>
    </row>
    <row r="16">
      <c r="A16" s="25" t="s">
        <v>50</v>
      </c>
      <c r="B16" s="26">
        <f>'i_C21&amp;E23&amp;34'!B16</f>
        <v>126433</v>
      </c>
      <c r="C16" s="26">
        <v>2508.51987</v>
      </c>
      <c r="D16" s="31">
        <f t="shared" si="1"/>
        <v>1.984070512</v>
      </c>
      <c r="E16" s="26">
        <v>2576.4262400000002</v>
      </c>
      <c r="F16" s="31">
        <f t="shared" si="2"/>
        <v>2.037779883</v>
      </c>
      <c r="G16" s="26">
        <v>15938.541720000003</v>
      </c>
      <c r="H16" s="31">
        <f t="shared" si="3"/>
        <v>12.60631459</v>
      </c>
      <c r="I16" s="26">
        <v>77154.29785000002</v>
      </c>
      <c r="J16" s="31">
        <f t="shared" si="4"/>
        <v>61.02386074</v>
      </c>
      <c r="K16" s="26">
        <v>13802.67594</v>
      </c>
      <c r="L16" s="31">
        <f t="shared" si="5"/>
        <v>10.9169884</v>
      </c>
      <c r="M16" s="26">
        <v>629725.0</v>
      </c>
      <c r="N16" s="26">
        <v>15798.0</v>
      </c>
      <c r="O16" s="31">
        <f t="shared" si="6"/>
        <v>2.508714121</v>
      </c>
      <c r="P16" s="26">
        <v>74754.0</v>
      </c>
      <c r="Q16" s="31">
        <f t="shared" si="7"/>
        <v>11.87089603</v>
      </c>
      <c r="R16" s="26">
        <v>7777.0</v>
      </c>
      <c r="S16" s="31">
        <f t="shared" si="8"/>
        <v>1.234983525</v>
      </c>
      <c r="T16" s="26">
        <v>620787.0</v>
      </c>
      <c r="U16" s="31">
        <f t="shared" si="9"/>
        <v>98.58065028</v>
      </c>
      <c r="V16" s="26">
        <v>3095.0</v>
      </c>
      <c r="W16" s="31">
        <f t="shared" si="10"/>
        <v>0.4914843781</v>
      </c>
    </row>
    <row r="17">
      <c r="A17" s="25" t="s">
        <v>51</v>
      </c>
      <c r="B17" s="26">
        <f>'i_C21&amp;E23&amp;34'!B17</f>
        <v>140889</v>
      </c>
      <c r="C17" s="26">
        <v>1655.6499</v>
      </c>
      <c r="D17" s="31">
        <f t="shared" si="1"/>
        <v>1.175144901</v>
      </c>
      <c r="E17" s="26">
        <v>14565.17786</v>
      </c>
      <c r="F17" s="31">
        <f t="shared" si="2"/>
        <v>10.33805184</v>
      </c>
      <c r="G17" s="26">
        <v>16755.75441</v>
      </c>
      <c r="H17" s="31">
        <f t="shared" si="3"/>
        <v>11.89287624</v>
      </c>
      <c r="I17" s="26">
        <v>91108.14497000004</v>
      </c>
      <c r="J17" s="31">
        <f t="shared" si="4"/>
        <v>64.66661341</v>
      </c>
      <c r="K17" s="26">
        <v>0.0</v>
      </c>
      <c r="L17" s="31">
        <f t="shared" si="5"/>
        <v>0</v>
      </c>
      <c r="M17" s="26">
        <v>1381518.0</v>
      </c>
      <c r="N17" s="26">
        <v>9372.0</v>
      </c>
      <c r="O17" s="31">
        <f t="shared" si="6"/>
        <v>0.6783842121</v>
      </c>
      <c r="P17" s="26">
        <v>147251.0</v>
      </c>
      <c r="Q17" s="31">
        <f t="shared" si="7"/>
        <v>10.65863782</v>
      </c>
      <c r="R17" s="26">
        <v>16442.0</v>
      </c>
      <c r="S17" s="31">
        <f t="shared" si="8"/>
        <v>1.190140121</v>
      </c>
      <c r="T17" s="26">
        <v>1362165.0</v>
      </c>
      <c r="U17" s="31">
        <f t="shared" si="9"/>
        <v>98.59914963</v>
      </c>
      <c r="V17" s="26">
        <v>0.0</v>
      </c>
      <c r="W17" s="31">
        <f t="shared" si="10"/>
        <v>0</v>
      </c>
    </row>
    <row r="18">
      <c r="A18" s="25" t="s">
        <v>53</v>
      </c>
      <c r="B18" s="26">
        <f>'i_C21&amp;E23&amp;34'!B18</f>
        <v>223092</v>
      </c>
      <c r="C18" s="26">
        <v>756.53415</v>
      </c>
      <c r="D18" s="31">
        <f t="shared" si="1"/>
        <v>0.3391130789</v>
      </c>
      <c r="E18" s="26">
        <v>1422.1858</v>
      </c>
      <c r="F18" s="31">
        <f t="shared" si="2"/>
        <v>0.6374884801</v>
      </c>
      <c r="G18" s="26">
        <v>22420.72963</v>
      </c>
      <c r="H18" s="31">
        <f t="shared" si="3"/>
        <v>10.04999266</v>
      </c>
      <c r="I18" s="26">
        <v>120544.38963000003</v>
      </c>
      <c r="J18" s="31">
        <f t="shared" si="4"/>
        <v>54.03348826</v>
      </c>
      <c r="K18" s="26">
        <v>0.0</v>
      </c>
      <c r="L18" s="31">
        <f t="shared" si="5"/>
        <v>0</v>
      </c>
      <c r="M18" s="26">
        <v>1374053.0</v>
      </c>
      <c r="N18" s="26">
        <v>48155.0</v>
      </c>
      <c r="O18" s="31">
        <f t="shared" si="6"/>
        <v>3.504595529</v>
      </c>
      <c r="P18" s="26">
        <v>179638.0</v>
      </c>
      <c r="Q18" s="31">
        <f t="shared" si="7"/>
        <v>13.07358595</v>
      </c>
      <c r="R18" s="26">
        <v>29214.0</v>
      </c>
      <c r="S18" s="31">
        <f t="shared" si="8"/>
        <v>2.126118861</v>
      </c>
      <c r="T18" s="26">
        <v>1332285.0</v>
      </c>
      <c r="U18" s="31">
        <f t="shared" si="9"/>
        <v>96.9602337</v>
      </c>
      <c r="V18" s="26">
        <v>9391.0</v>
      </c>
      <c r="W18" s="31">
        <f t="shared" si="10"/>
        <v>0.6834525306</v>
      </c>
    </row>
    <row r="19">
      <c r="A19" s="25" t="s">
        <v>54</v>
      </c>
      <c r="B19" s="26">
        <f>'i_C21&amp;E23&amp;34'!B19</f>
        <v>167413</v>
      </c>
      <c r="C19" s="26">
        <v>4670.16423</v>
      </c>
      <c r="D19" s="31">
        <f t="shared" si="1"/>
        <v>2.789606679</v>
      </c>
      <c r="E19" s="26">
        <v>4786.6164100000005</v>
      </c>
      <c r="F19" s="31">
        <f t="shared" si="2"/>
        <v>2.859166498</v>
      </c>
      <c r="G19" s="26">
        <v>9286.655970000002</v>
      </c>
      <c r="H19" s="31">
        <f t="shared" si="3"/>
        <v>5.547153429</v>
      </c>
      <c r="I19" s="26">
        <v>158949.68567000012</v>
      </c>
      <c r="J19" s="31">
        <f t="shared" si="4"/>
        <v>94.94464926</v>
      </c>
      <c r="K19" s="26">
        <v>0.0</v>
      </c>
      <c r="L19" s="31">
        <f t="shared" si="5"/>
        <v>0</v>
      </c>
      <c r="M19" s="26">
        <v>1497769.0</v>
      </c>
      <c r="N19" s="26">
        <v>67265.0</v>
      </c>
      <c r="O19" s="31">
        <f t="shared" si="6"/>
        <v>4.491012967</v>
      </c>
      <c r="P19" s="26">
        <v>318793.0</v>
      </c>
      <c r="Q19" s="31">
        <f t="shared" si="7"/>
        <v>21.28452385</v>
      </c>
      <c r="R19" s="26">
        <v>101808.0</v>
      </c>
      <c r="S19" s="31">
        <f t="shared" si="8"/>
        <v>6.797309866</v>
      </c>
      <c r="T19" s="26">
        <v>1461415.0</v>
      </c>
      <c r="U19" s="31">
        <f t="shared" si="9"/>
        <v>97.57278993</v>
      </c>
      <c r="V19" s="26">
        <v>2298.0</v>
      </c>
      <c r="W19" s="31">
        <f t="shared" si="10"/>
        <v>0.1534281989</v>
      </c>
    </row>
    <row r="20">
      <c r="A20" s="25" t="s">
        <v>56</v>
      </c>
      <c r="B20" s="26">
        <f>'i_C21&amp;E23&amp;34'!B20</f>
        <v>155309</v>
      </c>
      <c r="C20" s="26">
        <v>2568.04304</v>
      </c>
      <c r="D20" s="31">
        <f t="shared" si="1"/>
        <v>1.653505618</v>
      </c>
      <c r="E20" s="26">
        <v>2469.16502</v>
      </c>
      <c r="F20" s="31">
        <f t="shared" si="2"/>
        <v>1.589840267</v>
      </c>
      <c r="G20" s="26">
        <v>4141.48715</v>
      </c>
      <c r="H20" s="31">
        <f t="shared" si="3"/>
        <v>2.666611175</v>
      </c>
      <c r="I20" s="26">
        <v>117830.55365199999</v>
      </c>
      <c r="J20" s="31">
        <f t="shared" si="4"/>
        <v>75.86846458</v>
      </c>
      <c r="K20" s="26">
        <v>0.0</v>
      </c>
      <c r="L20" s="31">
        <f t="shared" si="5"/>
        <v>0</v>
      </c>
      <c r="M20" s="26">
        <v>811117.0</v>
      </c>
      <c r="N20" s="26">
        <v>30551.0</v>
      </c>
      <c r="O20" s="31">
        <f t="shared" si="6"/>
        <v>3.766534298</v>
      </c>
      <c r="P20" s="26">
        <v>80699.0</v>
      </c>
      <c r="Q20" s="31">
        <f t="shared" si="7"/>
        <v>9.949119547</v>
      </c>
      <c r="R20" s="26">
        <v>11832.0</v>
      </c>
      <c r="S20" s="31">
        <f t="shared" si="8"/>
        <v>1.458729135</v>
      </c>
      <c r="T20" s="26">
        <v>797112.0</v>
      </c>
      <c r="U20" s="31">
        <f t="shared" si="9"/>
        <v>98.2733687</v>
      </c>
      <c r="V20" s="26">
        <v>0.0</v>
      </c>
      <c r="W20" s="31">
        <f t="shared" si="10"/>
        <v>0</v>
      </c>
    </row>
    <row r="21" ht="15.75" customHeight="1">
      <c r="A21" s="25" t="s">
        <v>57</v>
      </c>
      <c r="B21" s="26">
        <f>'i_C21&amp;E23&amp;34'!B21</f>
        <v>58054</v>
      </c>
      <c r="C21" s="26">
        <v>851.95587</v>
      </c>
      <c r="D21" s="31">
        <f t="shared" si="1"/>
        <v>1.467523116</v>
      </c>
      <c r="E21" s="26">
        <v>0.0</v>
      </c>
      <c r="F21" s="31">
        <f t="shared" si="2"/>
        <v>0</v>
      </c>
      <c r="G21" s="26">
        <v>4205.6558</v>
      </c>
      <c r="H21" s="31">
        <f t="shared" si="3"/>
        <v>7.244385917</v>
      </c>
      <c r="I21" s="26">
        <v>49084.53997999998</v>
      </c>
      <c r="J21" s="31">
        <f t="shared" si="4"/>
        <v>84.54979843</v>
      </c>
      <c r="K21" s="26">
        <v>0.0</v>
      </c>
      <c r="L21" s="31">
        <f t="shared" si="5"/>
        <v>0</v>
      </c>
      <c r="M21" s="26">
        <v>262432.0</v>
      </c>
      <c r="N21" s="26">
        <v>10429.0</v>
      </c>
      <c r="O21" s="31">
        <f t="shared" si="6"/>
        <v>3.973981831</v>
      </c>
      <c r="P21" s="26">
        <v>45639.0</v>
      </c>
      <c r="Q21" s="31">
        <f t="shared" si="7"/>
        <v>17.39079076</v>
      </c>
      <c r="R21" s="26">
        <v>16816.0</v>
      </c>
      <c r="S21" s="31">
        <f t="shared" si="8"/>
        <v>6.407755152</v>
      </c>
      <c r="T21" s="26">
        <v>257416.0</v>
      </c>
      <c r="U21" s="31">
        <f t="shared" si="9"/>
        <v>98.08864773</v>
      </c>
      <c r="V21" s="26">
        <v>0.0</v>
      </c>
      <c r="W21" s="31">
        <f t="shared" si="10"/>
        <v>0</v>
      </c>
    </row>
    <row r="22" ht="15.75" customHeight="1">
      <c r="A22" s="25" t="s">
        <v>59</v>
      </c>
      <c r="B22" s="26">
        <f>'i_C21&amp;E23&amp;34'!B22</f>
        <v>55371</v>
      </c>
      <c r="C22" s="26">
        <v>1844.62006</v>
      </c>
      <c r="D22" s="31">
        <f t="shared" si="1"/>
        <v>3.331382962</v>
      </c>
      <c r="E22" s="26">
        <v>1094.13</v>
      </c>
      <c r="F22" s="31">
        <f t="shared" si="2"/>
        <v>1.975998266</v>
      </c>
      <c r="G22" s="26">
        <v>1125.01663</v>
      </c>
      <c r="H22" s="31">
        <f t="shared" si="3"/>
        <v>2.031779506</v>
      </c>
      <c r="I22" s="26">
        <v>37516.11872</v>
      </c>
      <c r="J22" s="31">
        <f t="shared" si="4"/>
        <v>67.75409279</v>
      </c>
      <c r="K22" s="26">
        <v>0.0</v>
      </c>
      <c r="L22" s="31">
        <f t="shared" si="5"/>
        <v>0</v>
      </c>
      <c r="M22" s="26">
        <v>674428.0</v>
      </c>
      <c r="N22" s="26">
        <v>9135.0</v>
      </c>
      <c r="O22" s="31">
        <f t="shared" si="6"/>
        <v>1.354481131</v>
      </c>
      <c r="P22" s="26">
        <v>108783.0</v>
      </c>
      <c r="Q22" s="31">
        <f t="shared" si="7"/>
        <v>16.1296684</v>
      </c>
      <c r="R22" s="26">
        <v>8640.0</v>
      </c>
      <c r="S22" s="31">
        <f t="shared" si="8"/>
        <v>1.281085601</v>
      </c>
      <c r="T22" s="26">
        <v>662071.0</v>
      </c>
      <c r="U22" s="31">
        <f t="shared" si="9"/>
        <v>98.1677807</v>
      </c>
      <c r="V22" s="26">
        <v>2273.0</v>
      </c>
      <c r="W22" s="31">
        <f t="shared" si="10"/>
        <v>0.3370263394</v>
      </c>
    </row>
    <row r="23" ht="15.75" customHeight="1">
      <c r="A23" s="25" t="s">
        <v>60</v>
      </c>
      <c r="B23" s="26">
        <f>'i_C21&amp;E23&amp;34'!B23</f>
        <v>93572</v>
      </c>
      <c r="C23" s="26">
        <v>16169.608080000002</v>
      </c>
      <c r="D23" s="31">
        <f t="shared" si="1"/>
        <v>17.28039166</v>
      </c>
      <c r="E23" s="26">
        <v>10873.580600000001</v>
      </c>
      <c r="F23" s="31">
        <f t="shared" si="2"/>
        <v>11.62054952</v>
      </c>
      <c r="G23" s="26">
        <v>9894.94999</v>
      </c>
      <c r="H23" s="31">
        <f t="shared" si="3"/>
        <v>10.57469114</v>
      </c>
      <c r="I23" s="26">
        <v>60196.7083</v>
      </c>
      <c r="J23" s="31">
        <f t="shared" si="4"/>
        <v>64.33196715</v>
      </c>
      <c r="K23" s="26">
        <v>0.0</v>
      </c>
      <c r="L23" s="31">
        <f t="shared" si="5"/>
        <v>0</v>
      </c>
      <c r="M23" s="26">
        <v>462806.0</v>
      </c>
      <c r="N23" s="26">
        <v>10264.0</v>
      </c>
      <c r="O23" s="31">
        <f t="shared" si="6"/>
        <v>2.217775915</v>
      </c>
      <c r="P23" s="26">
        <v>88896.0</v>
      </c>
      <c r="Q23" s="31">
        <f t="shared" si="7"/>
        <v>19.2080483</v>
      </c>
      <c r="R23" s="26">
        <v>25508.0</v>
      </c>
      <c r="S23" s="31">
        <f t="shared" si="8"/>
        <v>5.511596652</v>
      </c>
      <c r="T23" s="26">
        <v>456274.0</v>
      </c>
      <c r="U23" s="31">
        <f t="shared" si="9"/>
        <v>98.58860948</v>
      </c>
      <c r="V23" s="26">
        <v>0.0</v>
      </c>
      <c r="W23" s="31">
        <f t="shared" si="10"/>
        <v>0</v>
      </c>
    </row>
    <row r="24" ht="15.75" customHeight="1">
      <c r="A24" s="25" t="s">
        <v>63</v>
      </c>
      <c r="B24" s="26">
        <f>'i_C21&amp;E23&amp;34'!B24</f>
        <v>140430</v>
      </c>
      <c r="C24" s="26">
        <v>0.0</v>
      </c>
      <c r="D24" s="31">
        <f t="shared" si="1"/>
        <v>0</v>
      </c>
      <c r="E24" s="26">
        <v>0.0</v>
      </c>
      <c r="F24" s="31">
        <f t="shared" si="2"/>
        <v>0</v>
      </c>
      <c r="G24" s="26">
        <v>18797.829959999995</v>
      </c>
      <c r="H24" s="31">
        <f t="shared" si="3"/>
        <v>13.38590754</v>
      </c>
      <c r="I24" s="26">
        <v>134411.52569</v>
      </c>
      <c r="J24" s="31">
        <f t="shared" si="4"/>
        <v>95.71425314</v>
      </c>
      <c r="K24" s="26">
        <v>0.0</v>
      </c>
      <c r="L24" s="31">
        <f t="shared" si="5"/>
        <v>0</v>
      </c>
      <c r="M24" s="26">
        <v>661052.0</v>
      </c>
      <c r="N24" s="26">
        <v>34594.0</v>
      </c>
      <c r="O24" s="31">
        <f t="shared" si="6"/>
        <v>5.23317379</v>
      </c>
      <c r="P24" s="26">
        <v>124049.0</v>
      </c>
      <c r="Q24" s="31">
        <f t="shared" si="7"/>
        <v>18.76539213</v>
      </c>
      <c r="R24" s="26">
        <v>10684.0</v>
      </c>
      <c r="S24" s="31">
        <f t="shared" si="8"/>
        <v>1.616211735</v>
      </c>
      <c r="T24" s="26">
        <v>628825.0</v>
      </c>
      <c r="U24" s="31">
        <f t="shared" si="9"/>
        <v>95.12489184</v>
      </c>
      <c r="V24" s="26">
        <v>4293.0</v>
      </c>
      <c r="W24" s="31">
        <f t="shared" si="10"/>
        <v>0.6494194103</v>
      </c>
    </row>
    <row r="25" ht="15.75" customHeight="1">
      <c r="A25" s="25" t="s">
        <v>64</v>
      </c>
      <c r="B25" s="26">
        <f>'i_C21&amp;E23&amp;34'!B25</f>
        <v>46686</v>
      </c>
      <c r="C25" s="26">
        <v>1376.659</v>
      </c>
      <c r="D25" s="31">
        <f t="shared" si="1"/>
        <v>2.948761941</v>
      </c>
      <c r="E25" s="26">
        <v>0.0</v>
      </c>
      <c r="F25" s="31">
        <f t="shared" si="2"/>
        <v>0</v>
      </c>
      <c r="G25" s="26">
        <v>3668.5656900000004</v>
      </c>
      <c r="H25" s="31">
        <f t="shared" si="3"/>
        <v>7.857956754</v>
      </c>
      <c r="I25" s="26">
        <v>12181.835439999999</v>
      </c>
      <c r="J25" s="31">
        <f t="shared" si="4"/>
        <v>26.09312308</v>
      </c>
      <c r="K25" s="26">
        <v>0.0</v>
      </c>
      <c r="L25" s="31">
        <f t="shared" si="5"/>
        <v>0</v>
      </c>
      <c r="M25" s="26">
        <v>425995.0</v>
      </c>
      <c r="N25" s="26">
        <v>4268.0</v>
      </c>
      <c r="O25" s="31">
        <f t="shared" si="6"/>
        <v>1.001889694</v>
      </c>
      <c r="P25" s="26">
        <v>54355.0</v>
      </c>
      <c r="Q25" s="31">
        <f t="shared" si="7"/>
        <v>12.75953943</v>
      </c>
      <c r="R25" s="26">
        <v>11111.0</v>
      </c>
      <c r="S25" s="31">
        <f t="shared" si="8"/>
        <v>2.608246576</v>
      </c>
      <c r="T25" s="26">
        <v>421292.0</v>
      </c>
      <c r="U25" s="31">
        <f t="shared" si="9"/>
        <v>98.89599643</v>
      </c>
      <c r="V25" s="26">
        <v>0.0</v>
      </c>
      <c r="W25" s="31">
        <f t="shared" si="10"/>
        <v>0</v>
      </c>
    </row>
    <row r="26" ht="15.75" customHeight="1">
      <c r="A26" s="25" t="s">
        <v>65</v>
      </c>
      <c r="B26" s="26">
        <f>'i_C21&amp;E23&amp;34'!B26</f>
        <v>10666</v>
      </c>
      <c r="C26" s="26">
        <v>0.0</v>
      </c>
      <c r="D26" s="31">
        <f t="shared" si="1"/>
        <v>0</v>
      </c>
      <c r="E26" s="26">
        <v>0.0</v>
      </c>
      <c r="F26" s="31">
        <f t="shared" si="2"/>
        <v>0</v>
      </c>
      <c r="G26" s="26">
        <v>1253.85672</v>
      </c>
      <c r="H26" s="31">
        <f t="shared" si="3"/>
        <v>11.75564148</v>
      </c>
      <c r="I26" s="26">
        <v>3768.59043</v>
      </c>
      <c r="J26" s="31">
        <f t="shared" si="4"/>
        <v>35.33274358</v>
      </c>
      <c r="K26" s="26">
        <v>0.0</v>
      </c>
      <c r="L26" s="31">
        <f t="shared" si="5"/>
        <v>0</v>
      </c>
      <c r="M26" s="26">
        <v>182257.0</v>
      </c>
      <c r="N26" s="26">
        <v>7023.0</v>
      </c>
      <c r="O26" s="31">
        <f t="shared" si="6"/>
        <v>3.85334994</v>
      </c>
      <c r="P26" s="26">
        <v>48766.0</v>
      </c>
      <c r="Q26" s="31">
        <f t="shared" si="7"/>
        <v>26.75672265</v>
      </c>
      <c r="R26" s="26">
        <v>7959.0</v>
      </c>
      <c r="S26" s="31">
        <f t="shared" si="8"/>
        <v>4.366910462</v>
      </c>
      <c r="T26" s="26">
        <v>165688.0</v>
      </c>
      <c r="U26" s="31">
        <f t="shared" si="9"/>
        <v>90.90899115</v>
      </c>
      <c r="V26" s="26">
        <v>3414.0</v>
      </c>
      <c r="W26" s="31">
        <f t="shared" si="10"/>
        <v>1.873179082</v>
      </c>
    </row>
    <row r="27" ht="15.75" customHeight="1">
      <c r="A27" s="28"/>
      <c r="B27" s="28"/>
      <c r="C27" s="28"/>
      <c r="D27" s="28"/>
      <c r="E27" s="28"/>
      <c r="F27" s="28"/>
      <c r="G27" s="28"/>
      <c r="H27" s="28"/>
      <c r="I27" s="28"/>
      <c r="J27" s="28"/>
      <c r="K27" s="28"/>
      <c r="L27" s="28"/>
      <c r="M27" s="28"/>
      <c r="N27" s="28"/>
      <c r="O27" s="28"/>
      <c r="P27" s="28"/>
      <c r="Q27" s="28"/>
      <c r="R27" s="28"/>
      <c r="S27" s="28"/>
      <c r="T27" s="28"/>
      <c r="U27" s="28"/>
      <c r="V27" s="28"/>
      <c r="W27" s="28"/>
    </row>
    <row r="28" ht="15.75" customHeight="1">
      <c r="A28" s="9"/>
      <c r="B28" s="9"/>
      <c r="C28" s="9"/>
      <c r="D28" s="9"/>
      <c r="E28" s="9"/>
      <c r="F28" s="9"/>
      <c r="G28" s="9"/>
      <c r="H28" s="9"/>
      <c r="I28" s="9"/>
      <c r="J28" s="9"/>
      <c r="K28" s="9"/>
      <c r="L28" s="9"/>
      <c r="M28" s="9"/>
      <c r="N28" s="9"/>
      <c r="O28" s="9"/>
      <c r="P28" s="9"/>
      <c r="Q28" s="9"/>
      <c r="R28" s="9"/>
      <c r="S28" s="9"/>
      <c r="T28" s="9"/>
      <c r="U28" s="9"/>
      <c r="V28" s="9"/>
      <c r="W28" s="9"/>
    </row>
    <row r="29" ht="15.75" customHeight="1">
      <c r="A29" s="29" t="s">
        <v>69</v>
      </c>
      <c r="B29" s="29"/>
      <c r="C29" s="29"/>
      <c r="D29" s="29"/>
      <c r="E29" s="29"/>
      <c r="F29" s="29"/>
      <c r="G29" s="29"/>
      <c r="H29" s="29"/>
      <c r="I29" s="29"/>
      <c r="J29" s="29"/>
      <c r="K29" s="29"/>
      <c r="L29" s="29"/>
      <c r="M29" s="29"/>
      <c r="N29" s="29"/>
      <c r="O29" s="29"/>
      <c r="P29" s="29"/>
      <c r="Q29" s="29"/>
      <c r="R29" s="29"/>
      <c r="S29" s="29"/>
      <c r="T29" s="29"/>
      <c r="U29" s="29"/>
      <c r="V29" s="29"/>
      <c r="W29" s="29"/>
    </row>
    <row r="30" ht="15.75" customHeight="1">
      <c r="A30" s="29" t="s">
        <v>72</v>
      </c>
      <c r="B30" s="29"/>
      <c r="C30" s="29"/>
      <c r="D30" s="29"/>
      <c r="E30" s="29"/>
      <c r="F30" s="29"/>
      <c r="G30" s="29"/>
      <c r="H30" s="29"/>
      <c r="I30" s="29"/>
      <c r="J30" s="29"/>
      <c r="K30" s="29"/>
      <c r="L30" s="29"/>
      <c r="M30" s="29"/>
      <c r="N30" s="29"/>
      <c r="O30" s="29"/>
      <c r="P30" s="29"/>
      <c r="Q30" s="29"/>
      <c r="R30" s="29"/>
      <c r="S30" s="29"/>
      <c r="T30" s="29"/>
      <c r="U30" s="29"/>
      <c r="V30" s="29"/>
      <c r="W30" s="29"/>
    </row>
    <row r="31" ht="15.75" customHeight="1">
      <c r="A31" s="29" t="s">
        <v>447</v>
      </c>
      <c r="B31" s="29"/>
      <c r="C31" s="29"/>
      <c r="D31" s="29"/>
      <c r="E31" s="29"/>
      <c r="F31" s="29"/>
      <c r="G31" s="29"/>
      <c r="H31" s="29"/>
      <c r="I31" s="29"/>
      <c r="J31" s="29"/>
      <c r="K31" s="29"/>
      <c r="L31" s="29"/>
      <c r="M31" s="29"/>
      <c r="N31" s="29"/>
      <c r="O31" s="29"/>
      <c r="P31" s="29"/>
      <c r="Q31" s="29"/>
      <c r="R31" s="29"/>
      <c r="S31" s="29"/>
      <c r="T31" s="29"/>
      <c r="U31" s="29"/>
      <c r="V31" s="29"/>
      <c r="W31" s="29"/>
    </row>
    <row r="32" ht="15.75" customHeight="1">
      <c r="A32" s="32" t="s">
        <v>76</v>
      </c>
    </row>
    <row r="33" ht="15.75" customHeight="1">
      <c r="A33" s="32"/>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9">
    <mergeCell ref="C6:D6"/>
    <mergeCell ref="E6:F6"/>
    <mergeCell ref="G6:H6"/>
    <mergeCell ref="I6:J6"/>
    <mergeCell ref="K6:L6"/>
    <mergeCell ref="N6:O6"/>
    <mergeCell ref="P6:Q6"/>
    <mergeCell ref="R6:S6"/>
    <mergeCell ref="T6:U6"/>
    <mergeCell ref="V6:W6"/>
    <mergeCell ref="A32:W32"/>
    <mergeCell ref="A33:W33"/>
    <mergeCell ref="A4:A7"/>
    <mergeCell ref="B4:L4"/>
    <mergeCell ref="M4:W4"/>
    <mergeCell ref="B5:B7"/>
    <mergeCell ref="C5:L5"/>
    <mergeCell ref="M5:M7"/>
    <mergeCell ref="N5:W5"/>
  </mergeCells>
  <hyperlinks>
    <hyperlink display="BACK TO LIST" location="LIST!A1" ref="A1"/>
  </hyperlinks>
  <printOptions/>
  <pageMargins bottom="0.75" footer="0.0" header="0.0" left="0.7" right="0.7" top="0.75"/>
  <pageSetup paperSize="9" scale="63" orientation="portrait"/>
  <drawing r:id="rId1"/>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9"/>
    <pageSetUpPr/>
  </sheetPr>
  <sheetViews>
    <sheetView workbookViewId="0"/>
  </sheetViews>
  <sheetFormatPr customHeight="1" defaultColWidth="12.63" defaultRowHeight="15.0"/>
  <cols>
    <col customWidth="1" min="1" max="1" width="39.0"/>
    <col customWidth="1" min="2" max="2" width="15.0"/>
    <col customWidth="1" min="3" max="12" width="14.0"/>
    <col customWidth="1" min="13" max="13" width="15.0"/>
    <col customWidth="1" min="14" max="23" width="14.0"/>
    <col customWidth="1" min="24" max="29" width="8.63"/>
  </cols>
  <sheetData>
    <row r="1">
      <c r="A1" s="5" t="s">
        <v>1</v>
      </c>
      <c r="B1" s="5"/>
      <c r="C1" s="5"/>
      <c r="D1" s="5"/>
      <c r="E1" s="5"/>
      <c r="F1" s="5"/>
      <c r="G1" s="5"/>
      <c r="H1" s="5"/>
      <c r="I1" s="5"/>
      <c r="J1" s="5"/>
      <c r="K1" s="5"/>
      <c r="L1" s="5"/>
    </row>
    <row r="2" ht="15.0" customHeight="1">
      <c r="A2" s="33" t="s">
        <v>439</v>
      </c>
      <c r="B2" s="33"/>
      <c r="C2" s="33"/>
      <c r="D2" s="33"/>
      <c r="E2" s="33"/>
      <c r="F2" s="33"/>
      <c r="G2" s="33"/>
      <c r="H2" s="33"/>
      <c r="I2" s="33"/>
      <c r="J2" s="33"/>
      <c r="K2" s="33"/>
      <c r="L2" s="33"/>
      <c r="M2" s="53"/>
      <c r="N2" s="53"/>
      <c r="O2" s="53"/>
      <c r="P2" s="53"/>
      <c r="Q2" s="53"/>
      <c r="R2" s="53"/>
      <c r="S2" s="53"/>
      <c r="V2" s="53"/>
      <c r="W2" s="53"/>
    </row>
    <row r="3">
      <c r="A3" s="8"/>
      <c r="B3" s="8"/>
      <c r="C3" s="8"/>
      <c r="D3" s="8"/>
      <c r="E3" s="8"/>
      <c r="F3" s="8"/>
      <c r="G3" s="8"/>
      <c r="H3" s="8"/>
      <c r="I3" s="8"/>
      <c r="J3" s="8"/>
      <c r="K3" s="8"/>
      <c r="L3" s="8"/>
      <c r="M3" s="9"/>
      <c r="N3" s="9"/>
      <c r="O3" s="9"/>
      <c r="P3" s="9"/>
      <c r="Q3" s="9"/>
      <c r="R3" s="9"/>
      <c r="S3" s="9"/>
      <c r="T3" s="9"/>
      <c r="U3" s="9"/>
      <c r="V3" s="9"/>
      <c r="W3" s="9"/>
    </row>
    <row r="4">
      <c r="A4" s="10" t="s">
        <v>13</v>
      </c>
      <c r="B4" s="72">
        <v>2019.0</v>
      </c>
      <c r="C4" s="14"/>
      <c r="D4" s="14"/>
      <c r="E4" s="14"/>
      <c r="F4" s="14"/>
      <c r="G4" s="14"/>
      <c r="H4" s="14"/>
      <c r="I4" s="14"/>
      <c r="J4" s="14"/>
      <c r="K4" s="14"/>
      <c r="L4" s="15"/>
      <c r="M4" s="72">
        <v>2024.0</v>
      </c>
      <c r="N4" s="14"/>
      <c r="O4" s="14"/>
      <c r="P4" s="14"/>
      <c r="Q4" s="14"/>
      <c r="R4" s="14"/>
      <c r="S4" s="14"/>
      <c r="T4" s="14"/>
      <c r="U4" s="14"/>
      <c r="V4" s="14"/>
      <c r="W4" s="15"/>
    </row>
    <row r="5" ht="24.75" customHeight="1">
      <c r="A5" s="17"/>
      <c r="B5" s="21" t="s">
        <v>440</v>
      </c>
      <c r="C5" s="38" t="s">
        <v>441</v>
      </c>
      <c r="D5" s="14"/>
      <c r="E5" s="14"/>
      <c r="F5" s="14"/>
      <c r="G5" s="14"/>
      <c r="H5" s="14"/>
      <c r="I5" s="14"/>
      <c r="J5" s="14"/>
      <c r="K5" s="14"/>
      <c r="L5" s="15"/>
      <c r="M5" s="21" t="s">
        <v>440</v>
      </c>
      <c r="N5" s="38" t="s">
        <v>441</v>
      </c>
      <c r="O5" s="14"/>
      <c r="P5" s="14"/>
      <c r="Q5" s="14"/>
      <c r="R5" s="14"/>
      <c r="S5" s="14"/>
      <c r="T5" s="14"/>
      <c r="U5" s="14"/>
      <c r="V5" s="14"/>
      <c r="W5" s="15"/>
    </row>
    <row r="6" ht="26.25" customHeight="1">
      <c r="A6" s="17"/>
      <c r="B6" s="17"/>
      <c r="C6" s="13" t="s">
        <v>442</v>
      </c>
      <c r="D6" s="15"/>
      <c r="E6" s="13" t="s">
        <v>443</v>
      </c>
      <c r="F6" s="15"/>
      <c r="G6" s="13" t="s">
        <v>444</v>
      </c>
      <c r="H6" s="15"/>
      <c r="I6" s="13" t="s">
        <v>445</v>
      </c>
      <c r="J6" s="15"/>
      <c r="K6" s="13" t="s">
        <v>170</v>
      </c>
      <c r="L6" s="15"/>
      <c r="M6" s="17"/>
      <c r="N6" s="13" t="s">
        <v>442</v>
      </c>
      <c r="O6" s="15"/>
      <c r="P6" s="13" t="s">
        <v>443</v>
      </c>
      <c r="Q6" s="15"/>
      <c r="R6" s="13" t="s">
        <v>444</v>
      </c>
      <c r="S6" s="15"/>
      <c r="T6" s="13" t="s">
        <v>445</v>
      </c>
      <c r="U6" s="15"/>
      <c r="V6" s="13" t="s">
        <v>170</v>
      </c>
      <c r="W6" s="15"/>
    </row>
    <row r="7" ht="24.75" customHeight="1">
      <c r="A7" s="18"/>
      <c r="B7" s="18"/>
      <c r="C7" s="24" t="s">
        <v>37</v>
      </c>
      <c r="D7" s="24" t="s">
        <v>39</v>
      </c>
      <c r="E7" s="24" t="s">
        <v>37</v>
      </c>
      <c r="F7" s="24" t="s">
        <v>39</v>
      </c>
      <c r="G7" s="24" t="s">
        <v>37</v>
      </c>
      <c r="H7" s="24" t="s">
        <v>39</v>
      </c>
      <c r="I7" s="24" t="s">
        <v>37</v>
      </c>
      <c r="J7" s="24" t="s">
        <v>39</v>
      </c>
      <c r="K7" s="24" t="s">
        <v>37</v>
      </c>
      <c r="L7" s="24" t="s">
        <v>39</v>
      </c>
      <c r="M7" s="18"/>
      <c r="N7" s="24" t="s">
        <v>37</v>
      </c>
      <c r="O7" s="24" t="s">
        <v>39</v>
      </c>
      <c r="P7" s="24" t="s">
        <v>37</v>
      </c>
      <c r="Q7" s="24" t="s">
        <v>39</v>
      </c>
      <c r="R7" s="24" t="s">
        <v>37</v>
      </c>
      <c r="S7" s="24" t="s">
        <v>39</v>
      </c>
      <c r="T7" s="24" t="s">
        <v>37</v>
      </c>
      <c r="U7" s="24" t="s">
        <v>39</v>
      </c>
      <c r="V7" s="24" t="s">
        <v>37</v>
      </c>
      <c r="W7" s="24" t="s">
        <v>39</v>
      </c>
    </row>
    <row r="8">
      <c r="A8" s="16"/>
      <c r="B8" s="16"/>
      <c r="C8" s="16"/>
      <c r="D8" s="16"/>
      <c r="E8" s="16"/>
      <c r="F8" s="16"/>
      <c r="G8" s="16"/>
      <c r="H8" s="16"/>
      <c r="I8" s="16"/>
      <c r="J8" s="16"/>
      <c r="K8" s="16"/>
      <c r="L8" s="16"/>
      <c r="M8" s="20"/>
      <c r="N8" s="20"/>
      <c r="O8" s="20"/>
      <c r="P8" s="20"/>
      <c r="Q8" s="20"/>
      <c r="R8" s="20"/>
      <c r="S8" s="20"/>
      <c r="T8" s="20"/>
      <c r="U8" s="20"/>
      <c r="V8" s="20"/>
      <c r="W8" s="20"/>
    </row>
    <row r="9">
      <c r="A9" s="22" t="s">
        <v>33</v>
      </c>
      <c r="B9" s="23">
        <v>4210447.437554001</v>
      </c>
      <c r="C9" s="23">
        <v>578773.2851219999</v>
      </c>
      <c r="D9" s="27">
        <f t="shared" ref="D9:D26" si="1">(C9/$B9)*100</f>
        <v>13.74612304</v>
      </c>
      <c r="E9" s="23">
        <v>1294727.757182</v>
      </c>
      <c r="F9" s="27">
        <f t="shared" ref="F9:F26" si="2">(E9/$B9)*100</f>
        <v>30.7503603</v>
      </c>
      <c r="G9" s="23">
        <v>2130727.611428</v>
      </c>
      <c r="H9" s="27">
        <f t="shared" ref="H9:H26" si="3">(G9/$B9)*100</f>
        <v>50.6057288</v>
      </c>
      <c r="I9" s="23">
        <v>275841.5442</v>
      </c>
      <c r="J9" s="27">
        <f t="shared" ref="J9:J26" si="4">(I9/$B9)*100</f>
        <v>6.551359405</v>
      </c>
      <c r="K9" s="23">
        <v>115512.84466999999</v>
      </c>
      <c r="L9" s="27">
        <f t="shared" ref="L9:L26" si="5">(K9/$B9)*100</f>
        <v>2.743481456</v>
      </c>
      <c r="M9" s="23">
        <v>1.5621285E7</v>
      </c>
      <c r="N9" s="23">
        <v>2429408.0</v>
      </c>
      <c r="O9" s="27">
        <f t="shared" ref="O9:O26" si="6">(N9/$M9)*100</f>
        <v>15.55190882</v>
      </c>
      <c r="P9" s="23">
        <v>5033606.0</v>
      </c>
      <c r="Q9" s="27">
        <f t="shared" ref="Q9:Q26" si="7">(P9/$M9)*100</f>
        <v>32.22273968</v>
      </c>
      <c r="R9" s="23">
        <v>8206511.0</v>
      </c>
      <c r="S9" s="27">
        <f t="shared" ref="S9:S26" si="8">(R9/$M9)*100</f>
        <v>52.53416092</v>
      </c>
      <c r="T9" s="23">
        <v>1675003.0</v>
      </c>
      <c r="U9" s="27">
        <f t="shared" ref="U9:U26" si="9">(T9/$M9)*100</f>
        <v>10.7225686</v>
      </c>
      <c r="V9" s="23">
        <v>1475060.0</v>
      </c>
      <c r="W9" s="27">
        <f t="shared" ref="W9:W26" si="10">(V9/$M9)*100</f>
        <v>9.442629079</v>
      </c>
      <c r="AA9" s="34"/>
      <c r="AC9" s="34"/>
    </row>
    <row r="10">
      <c r="A10" s="25" t="s">
        <v>38</v>
      </c>
      <c r="B10" s="26">
        <v>1110537.0700800002</v>
      </c>
      <c r="C10" s="26">
        <v>233689.05048999997</v>
      </c>
      <c r="D10" s="31">
        <f t="shared" si="1"/>
        <v>21.04288608</v>
      </c>
      <c r="E10" s="26">
        <v>311672.52735999995</v>
      </c>
      <c r="F10" s="31">
        <f t="shared" si="2"/>
        <v>28.06502689</v>
      </c>
      <c r="G10" s="26">
        <v>527116.7373299999</v>
      </c>
      <c r="H10" s="31">
        <f t="shared" si="3"/>
        <v>47.46502855</v>
      </c>
      <c r="I10" s="26">
        <v>70330.59815</v>
      </c>
      <c r="J10" s="31">
        <f t="shared" si="4"/>
        <v>6.333025708</v>
      </c>
      <c r="K10" s="26">
        <v>19294.03622</v>
      </c>
      <c r="L10" s="31">
        <f t="shared" si="5"/>
        <v>1.737360845</v>
      </c>
      <c r="M10" s="26">
        <v>1725918.0</v>
      </c>
      <c r="N10" s="26">
        <v>191037.0</v>
      </c>
      <c r="O10" s="31">
        <f t="shared" si="6"/>
        <v>11.06871821</v>
      </c>
      <c r="P10" s="26">
        <v>475902.0</v>
      </c>
      <c r="Q10" s="31">
        <f t="shared" si="7"/>
        <v>27.57384766</v>
      </c>
      <c r="R10" s="26">
        <v>953350.0</v>
      </c>
      <c r="S10" s="31">
        <f t="shared" si="8"/>
        <v>55.23727083</v>
      </c>
      <c r="T10" s="26">
        <v>176122.0</v>
      </c>
      <c r="U10" s="31">
        <f t="shared" si="9"/>
        <v>10.20454042</v>
      </c>
      <c r="V10" s="26">
        <v>181053.0</v>
      </c>
      <c r="W10" s="31">
        <f t="shared" si="10"/>
        <v>10.49024345</v>
      </c>
      <c r="AA10" s="34"/>
      <c r="AC10" s="34"/>
    </row>
    <row r="11">
      <c r="A11" s="25" t="s">
        <v>41</v>
      </c>
      <c r="B11" s="26">
        <v>88976.64919200003</v>
      </c>
      <c r="C11" s="26">
        <v>5236.353899999999</v>
      </c>
      <c r="D11" s="31">
        <f t="shared" si="1"/>
        <v>5.88508777</v>
      </c>
      <c r="E11" s="26">
        <v>30178.388120000003</v>
      </c>
      <c r="F11" s="31">
        <f t="shared" si="2"/>
        <v>33.91720007</v>
      </c>
      <c r="G11" s="26">
        <v>51925.193502</v>
      </c>
      <c r="H11" s="31">
        <f t="shared" si="3"/>
        <v>58.35822541</v>
      </c>
      <c r="I11" s="26">
        <v>5384.22656</v>
      </c>
      <c r="J11" s="31">
        <f t="shared" si="4"/>
        <v>6.05128043</v>
      </c>
      <c r="K11" s="26">
        <v>1437.96668</v>
      </c>
      <c r="L11" s="31">
        <f t="shared" si="5"/>
        <v>1.616116917</v>
      </c>
      <c r="M11" s="26">
        <v>205214.0</v>
      </c>
      <c r="N11" s="26">
        <v>51729.0</v>
      </c>
      <c r="O11" s="31">
        <f t="shared" si="6"/>
        <v>25.20734453</v>
      </c>
      <c r="P11" s="26">
        <v>86112.0</v>
      </c>
      <c r="Q11" s="31">
        <f t="shared" si="7"/>
        <v>41.96204937</v>
      </c>
      <c r="R11" s="26">
        <v>121185.0</v>
      </c>
      <c r="S11" s="31">
        <f t="shared" si="8"/>
        <v>59.05298859</v>
      </c>
      <c r="T11" s="26">
        <v>22061.0</v>
      </c>
      <c r="U11" s="31">
        <f t="shared" si="9"/>
        <v>10.75024121</v>
      </c>
      <c r="V11" s="26">
        <v>4086.0</v>
      </c>
      <c r="W11" s="31">
        <f t="shared" si="10"/>
        <v>1.991092226</v>
      </c>
      <c r="AA11" s="34"/>
      <c r="AC11" s="34"/>
    </row>
    <row r="12">
      <c r="A12" s="25" t="s">
        <v>43</v>
      </c>
      <c r="B12" s="26">
        <v>151280.64841000005</v>
      </c>
      <c r="C12" s="26">
        <v>32929.326429999994</v>
      </c>
      <c r="D12" s="31">
        <f t="shared" si="1"/>
        <v>21.76704475</v>
      </c>
      <c r="E12" s="26">
        <v>65053.733799999995</v>
      </c>
      <c r="F12" s="31">
        <f t="shared" si="2"/>
        <v>43.00201941</v>
      </c>
      <c r="G12" s="26">
        <v>94332.87852</v>
      </c>
      <c r="H12" s="31">
        <f t="shared" si="3"/>
        <v>62.35620981</v>
      </c>
      <c r="I12" s="26">
        <v>20223.38276</v>
      </c>
      <c r="J12" s="31">
        <f t="shared" si="4"/>
        <v>13.36812274</v>
      </c>
      <c r="K12" s="26">
        <v>17054.7425</v>
      </c>
      <c r="L12" s="31">
        <f t="shared" si="5"/>
        <v>11.2735784</v>
      </c>
      <c r="M12" s="26">
        <v>766421.0</v>
      </c>
      <c r="N12" s="26">
        <v>101467.0</v>
      </c>
      <c r="O12" s="31">
        <f t="shared" si="6"/>
        <v>13.23906834</v>
      </c>
      <c r="P12" s="26">
        <v>176337.0</v>
      </c>
      <c r="Q12" s="31">
        <f t="shared" si="7"/>
        <v>23.00785078</v>
      </c>
      <c r="R12" s="26">
        <v>362588.0</v>
      </c>
      <c r="S12" s="31">
        <f t="shared" si="8"/>
        <v>47.30924648</v>
      </c>
      <c r="T12" s="26">
        <v>156640.0</v>
      </c>
      <c r="U12" s="31">
        <f t="shared" si="9"/>
        <v>20.43785335</v>
      </c>
      <c r="V12" s="26">
        <v>29607.0</v>
      </c>
      <c r="W12" s="31">
        <f t="shared" si="10"/>
        <v>3.863020455</v>
      </c>
      <c r="AA12" s="34"/>
      <c r="AC12" s="34"/>
    </row>
    <row r="13">
      <c r="A13" s="25" t="s">
        <v>44</v>
      </c>
      <c r="B13" s="26">
        <v>48740.61151999999</v>
      </c>
      <c r="C13" s="26">
        <v>6006.503949999998</v>
      </c>
      <c r="D13" s="31">
        <f t="shared" si="1"/>
        <v>12.32340704</v>
      </c>
      <c r="E13" s="26">
        <v>20573.719712000002</v>
      </c>
      <c r="F13" s="31">
        <f t="shared" si="2"/>
        <v>42.21063107</v>
      </c>
      <c r="G13" s="26">
        <v>35672.488268999994</v>
      </c>
      <c r="H13" s="31">
        <f t="shared" si="3"/>
        <v>73.18842985</v>
      </c>
      <c r="I13" s="26">
        <v>3427.73747</v>
      </c>
      <c r="J13" s="31">
        <f t="shared" si="4"/>
        <v>7.032610718</v>
      </c>
      <c r="K13" s="26">
        <v>1364.4479</v>
      </c>
      <c r="L13" s="31">
        <f t="shared" si="5"/>
        <v>2.799406609</v>
      </c>
      <c r="M13" s="26">
        <v>635233.0</v>
      </c>
      <c r="N13" s="26">
        <v>108736.0</v>
      </c>
      <c r="O13" s="31">
        <f t="shared" si="6"/>
        <v>17.11749862</v>
      </c>
      <c r="P13" s="26">
        <v>205887.0</v>
      </c>
      <c r="Q13" s="31">
        <f t="shared" si="7"/>
        <v>32.41125697</v>
      </c>
      <c r="R13" s="26">
        <v>272228.0</v>
      </c>
      <c r="S13" s="31">
        <f t="shared" si="8"/>
        <v>42.8548265</v>
      </c>
      <c r="T13" s="26">
        <v>126673.0</v>
      </c>
      <c r="U13" s="31">
        <f t="shared" si="9"/>
        <v>19.94118693</v>
      </c>
      <c r="V13" s="26">
        <v>103911.0</v>
      </c>
      <c r="W13" s="31">
        <f t="shared" si="10"/>
        <v>16.35793481</v>
      </c>
      <c r="AA13" s="34"/>
      <c r="AC13" s="34"/>
    </row>
    <row r="14">
      <c r="A14" s="25" t="s">
        <v>46</v>
      </c>
      <c r="B14" s="26">
        <v>685233.2174500006</v>
      </c>
      <c r="C14" s="26">
        <v>27149.533919999998</v>
      </c>
      <c r="D14" s="31">
        <f t="shared" si="1"/>
        <v>3.962086663</v>
      </c>
      <c r="E14" s="26">
        <v>210848.48662000004</v>
      </c>
      <c r="F14" s="31">
        <f t="shared" si="2"/>
        <v>30.7703248</v>
      </c>
      <c r="G14" s="26">
        <v>408963.83136000007</v>
      </c>
      <c r="H14" s="31">
        <f t="shared" si="3"/>
        <v>59.68242942</v>
      </c>
      <c r="I14" s="26">
        <v>46987.72915000001</v>
      </c>
      <c r="J14" s="31">
        <f t="shared" si="4"/>
        <v>6.857187882</v>
      </c>
      <c r="K14" s="26">
        <v>2838.4911700000002</v>
      </c>
      <c r="L14" s="31">
        <f t="shared" si="5"/>
        <v>0.4142372404</v>
      </c>
      <c r="M14" s="26">
        <v>2554007.0</v>
      </c>
      <c r="N14" s="26">
        <v>636771.0</v>
      </c>
      <c r="O14" s="31">
        <f t="shared" si="6"/>
        <v>24.93223394</v>
      </c>
      <c r="P14" s="26">
        <v>915625.0</v>
      </c>
      <c r="Q14" s="31">
        <f t="shared" si="7"/>
        <v>35.85052821</v>
      </c>
      <c r="R14" s="26">
        <v>1177090.0</v>
      </c>
      <c r="S14" s="31">
        <f t="shared" si="8"/>
        <v>46.08797078</v>
      </c>
      <c r="T14" s="26">
        <v>167042.0</v>
      </c>
      <c r="U14" s="31">
        <f t="shared" si="9"/>
        <v>6.540389278</v>
      </c>
      <c r="V14" s="26">
        <v>279284.0</v>
      </c>
      <c r="W14" s="31">
        <f t="shared" si="10"/>
        <v>10.93513056</v>
      </c>
      <c r="AA14" s="34"/>
      <c r="AC14" s="34"/>
    </row>
    <row r="15">
      <c r="A15" s="25" t="s">
        <v>48</v>
      </c>
      <c r="B15" s="26">
        <v>1203092.007549999</v>
      </c>
      <c r="C15" s="26">
        <v>114098.00218</v>
      </c>
      <c r="D15" s="31">
        <f t="shared" si="1"/>
        <v>9.483730377</v>
      </c>
      <c r="E15" s="26">
        <v>319189.38930000004</v>
      </c>
      <c r="F15" s="31">
        <f t="shared" si="2"/>
        <v>26.5307547</v>
      </c>
      <c r="G15" s="26">
        <v>622152.6502199998</v>
      </c>
      <c r="H15" s="31">
        <f t="shared" si="3"/>
        <v>51.71280719</v>
      </c>
      <c r="I15" s="26">
        <v>50788.489010000005</v>
      </c>
      <c r="J15" s="31">
        <f t="shared" si="4"/>
        <v>4.221496668</v>
      </c>
      <c r="K15" s="26">
        <v>49094.671969999996</v>
      </c>
      <c r="L15" s="31">
        <f t="shared" si="5"/>
        <v>4.080708014</v>
      </c>
      <c r="M15" s="26">
        <v>2747433.0</v>
      </c>
      <c r="N15" s="26">
        <v>378860.0</v>
      </c>
      <c r="O15" s="31">
        <f t="shared" si="6"/>
        <v>13.78959924</v>
      </c>
      <c r="P15" s="26">
        <v>926111.0</v>
      </c>
      <c r="Q15" s="31">
        <f t="shared" si="7"/>
        <v>33.70822874</v>
      </c>
      <c r="R15" s="26">
        <v>1599459.0</v>
      </c>
      <c r="S15" s="31">
        <f t="shared" si="8"/>
        <v>58.2164879</v>
      </c>
      <c r="T15" s="26">
        <v>259943.0</v>
      </c>
      <c r="U15" s="31">
        <f t="shared" si="9"/>
        <v>9.461304425</v>
      </c>
      <c r="V15" s="26">
        <v>174275.0</v>
      </c>
      <c r="W15" s="31">
        <f t="shared" si="10"/>
        <v>6.34319381</v>
      </c>
      <c r="AA15" s="34"/>
      <c r="AC15" s="34"/>
    </row>
    <row r="16">
      <c r="A16" s="25" t="s">
        <v>50</v>
      </c>
      <c r="B16" s="26">
        <v>97821.63038000009</v>
      </c>
      <c r="C16" s="26">
        <v>18715.35688</v>
      </c>
      <c r="D16" s="31">
        <f t="shared" si="1"/>
        <v>19.13212528</v>
      </c>
      <c r="E16" s="26">
        <v>34811.21763</v>
      </c>
      <c r="F16" s="31">
        <f t="shared" si="2"/>
        <v>35.58642142</v>
      </c>
      <c r="G16" s="26">
        <v>40184.96278</v>
      </c>
      <c r="H16" s="31">
        <f t="shared" si="3"/>
        <v>41.07983339</v>
      </c>
      <c r="I16" s="26">
        <v>5125.646849999999</v>
      </c>
      <c r="J16" s="31">
        <f t="shared" si="4"/>
        <v>5.239788818</v>
      </c>
      <c r="K16" s="26">
        <v>6076.3487000000005</v>
      </c>
      <c r="L16" s="31">
        <f t="shared" si="5"/>
        <v>6.21166165</v>
      </c>
      <c r="M16" s="26">
        <v>546426.0</v>
      </c>
      <c r="N16" s="26">
        <v>87847.0</v>
      </c>
      <c r="O16" s="31">
        <f t="shared" si="6"/>
        <v>16.07665082</v>
      </c>
      <c r="P16" s="26">
        <v>235058.0</v>
      </c>
      <c r="Q16" s="31">
        <f t="shared" si="7"/>
        <v>43.01735276</v>
      </c>
      <c r="R16" s="26">
        <v>242271.0</v>
      </c>
      <c r="S16" s="31">
        <f t="shared" si="8"/>
        <v>44.33738512</v>
      </c>
      <c r="T16" s="26">
        <v>22047.0</v>
      </c>
      <c r="U16" s="31">
        <f t="shared" si="9"/>
        <v>4.034764085</v>
      </c>
      <c r="V16" s="26">
        <v>58811.0</v>
      </c>
      <c r="W16" s="31">
        <f t="shared" si="10"/>
        <v>10.76284803</v>
      </c>
      <c r="AA16" s="34"/>
      <c r="AC16" s="34"/>
    </row>
    <row r="17">
      <c r="A17" s="25" t="s">
        <v>51</v>
      </c>
      <c r="B17" s="26">
        <v>107445.16937000003</v>
      </c>
      <c r="C17" s="26">
        <v>19893.549119999996</v>
      </c>
      <c r="D17" s="31">
        <f t="shared" si="1"/>
        <v>18.51507074</v>
      </c>
      <c r="E17" s="26">
        <v>45646.372939999994</v>
      </c>
      <c r="F17" s="31">
        <f t="shared" si="2"/>
        <v>42.48341103</v>
      </c>
      <c r="G17" s="26">
        <v>30743.87486</v>
      </c>
      <c r="H17" s="31">
        <f t="shared" si="3"/>
        <v>28.61354777</v>
      </c>
      <c r="I17" s="26">
        <v>6931.623240000001</v>
      </c>
      <c r="J17" s="31">
        <f t="shared" si="4"/>
        <v>6.451312126</v>
      </c>
      <c r="K17" s="26">
        <v>0.0</v>
      </c>
      <c r="L17" s="31">
        <f t="shared" si="5"/>
        <v>0</v>
      </c>
      <c r="M17" s="26">
        <v>1230889.0</v>
      </c>
      <c r="N17" s="26">
        <v>159386.0</v>
      </c>
      <c r="O17" s="31">
        <f t="shared" si="6"/>
        <v>12.94885241</v>
      </c>
      <c r="P17" s="26">
        <v>610398.0</v>
      </c>
      <c r="Q17" s="31">
        <f t="shared" si="7"/>
        <v>49.59001177</v>
      </c>
      <c r="R17" s="26">
        <v>503133.0</v>
      </c>
      <c r="S17" s="31">
        <f t="shared" si="8"/>
        <v>40.87557855</v>
      </c>
      <c r="T17" s="26">
        <v>70134.0</v>
      </c>
      <c r="U17" s="31">
        <f t="shared" si="9"/>
        <v>5.69783303</v>
      </c>
      <c r="V17" s="26">
        <v>139166.0</v>
      </c>
      <c r="W17" s="31">
        <f t="shared" si="10"/>
        <v>11.30613727</v>
      </c>
      <c r="AA17" s="34"/>
      <c r="AC17" s="34"/>
    </row>
    <row r="18">
      <c r="A18" s="25" t="s">
        <v>53</v>
      </c>
      <c r="B18" s="26">
        <v>124850.28836000004</v>
      </c>
      <c r="C18" s="26">
        <v>16397.41125</v>
      </c>
      <c r="D18" s="31">
        <f t="shared" si="1"/>
        <v>13.13365909</v>
      </c>
      <c r="E18" s="26">
        <v>24325.984899999996</v>
      </c>
      <c r="F18" s="31">
        <f t="shared" si="2"/>
        <v>19.48412392</v>
      </c>
      <c r="G18" s="26">
        <v>79837.88361</v>
      </c>
      <c r="H18" s="31">
        <f t="shared" si="3"/>
        <v>63.94689564</v>
      </c>
      <c r="I18" s="26">
        <v>19530.536079999998</v>
      </c>
      <c r="J18" s="31">
        <f t="shared" si="4"/>
        <v>15.64316457</v>
      </c>
      <c r="K18" s="26">
        <v>2560.72489</v>
      </c>
      <c r="L18" s="31">
        <f t="shared" si="5"/>
        <v>2.051036424</v>
      </c>
      <c r="M18" s="26">
        <v>1175423.0</v>
      </c>
      <c r="N18" s="26">
        <v>259563.0</v>
      </c>
      <c r="O18" s="31">
        <f t="shared" si="6"/>
        <v>22.08251838</v>
      </c>
      <c r="P18" s="26">
        <v>331693.0</v>
      </c>
      <c r="Q18" s="31">
        <f t="shared" si="7"/>
        <v>28.21903264</v>
      </c>
      <c r="R18" s="26">
        <v>606695.0</v>
      </c>
      <c r="S18" s="31">
        <f t="shared" si="8"/>
        <v>51.61503561</v>
      </c>
      <c r="T18" s="26">
        <v>126227.0</v>
      </c>
      <c r="U18" s="31">
        <f t="shared" si="9"/>
        <v>10.73885742</v>
      </c>
      <c r="V18" s="26">
        <v>106885.0</v>
      </c>
      <c r="W18" s="31">
        <f t="shared" si="10"/>
        <v>9.093322149</v>
      </c>
      <c r="AA18" s="34"/>
      <c r="AC18" s="34"/>
    </row>
    <row r="19">
      <c r="A19" s="25" t="s">
        <v>54</v>
      </c>
      <c r="B19" s="26">
        <v>162306.81829000014</v>
      </c>
      <c r="C19" s="26">
        <v>9455.16563</v>
      </c>
      <c r="D19" s="31">
        <f t="shared" si="1"/>
        <v>5.825488867</v>
      </c>
      <c r="E19" s="26">
        <v>85171.63709999999</v>
      </c>
      <c r="F19" s="31">
        <f t="shared" si="2"/>
        <v>52.4756988</v>
      </c>
      <c r="G19" s="26">
        <v>69483.59406</v>
      </c>
      <c r="H19" s="31">
        <f t="shared" si="3"/>
        <v>42.81002782</v>
      </c>
      <c r="I19" s="26">
        <v>3705.34141</v>
      </c>
      <c r="J19" s="31">
        <f t="shared" si="4"/>
        <v>2.282924063</v>
      </c>
      <c r="K19" s="26">
        <v>866.99161</v>
      </c>
      <c r="L19" s="31">
        <f t="shared" si="5"/>
        <v>0.5341683234</v>
      </c>
      <c r="M19" s="26">
        <v>1154611.0</v>
      </c>
      <c r="N19" s="26">
        <v>102394.0</v>
      </c>
      <c r="O19" s="31">
        <f t="shared" si="6"/>
        <v>8.868268187</v>
      </c>
      <c r="P19" s="26">
        <v>158243.0</v>
      </c>
      <c r="Q19" s="31">
        <f t="shared" si="7"/>
        <v>13.70530854</v>
      </c>
      <c r="R19" s="26">
        <v>745543.0</v>
      </c>
      <c r="S19" s="31">
        <f t="shared" si="8"/>
        <v>64.57092475</v>
      </c>
      <c r="T19" s="26">
        <v>225016.0</v>
      </c>
      <c r="U19" s="31">
        <f t="shared" si="9"/>
        <v>19.48846841</v>
      </c>
      <c r="V19" s="26">
        <v>103213.0</v>
      </c>
      <c r="W19" s="31">
        <f t="shared" si="10"/>
        <v>8.939201168</v>
      </c>
      <c r="AA19" s="34"/>
      <c r="AC19" s="34"/>
    </row>
    <row r="20">
      <c r="A20" s="25" t="s">
        <v>56</v>
      </c>
      <c r="B20" s="26">
        <v>120974.579212</v>
      </c>
      <c r="C20" s="26">
        <v>12948.490402</v>
      </c>
      <c r="D20" s="31">
        <f t="shared" si="1"/>
        <v>10.70348042</v>
      </c>
      <c r="E20" s="26">
        <v>36441.82464</v>
      </c>
      <c r="F20" s="31">
        <f t="shared" si="2"/>
        <v>30.12353908</v>
      </c>
      <c r="G20" s="26">
        <v>55877.599827</v>
      </c>
      <c r="H20" s="31">
        <f t="shared" si="3"/>
        <v>46.18953849</v>
      </c>
      <c r="I20" s="26">
        <v>10677.545170000001</v>
      </c>
      <c r="J20" s="31">
        <f t="shared" si="4"/>
        <v>8.8262718</v>
      </c>
      <c r="K20" s="26">
        <v>5458.08337</v>
      </c>
      <c r="L20" s="31">
        <f t="shared" si="5"/>
        <v>4.511760574</v>
      </c>
      <c r="M20" s="26">
        <v>716409.0</v>
      </c>
      <c r="N20" s="26">
        <v>73594.0</v>
      </c>
      <c r="O20" s="31">
        <f t="shared" si="6"/>
        <v>10.2726236</v>
      </c>
      <c r="P20" s="26">
        <v>196514.0</v>
      </c>
      <c r="Q20" s="31">
        <f t="shared" si="7"/>
        <v>27.43042033</v>
      </c>
      <c r="R20" s="26">
        <v>420373.0</v>
      </c>
      <c r="S20" s="31">
        <f t="shared" si="8"/>
        <v>58.67779439</v>
      </c>
      <c r="T20" s="26">
        <v>58497.0</v>
      </c>
      <c r="U20" s="31">
        <f t="shared" si="9"/>
        <v>8.165307806</v>
      </c>
      <c r="V20" s="26">
        <v>76938.0</v>
      </c>
      <c r="W20" s="31">
        <f t="shared" si="10"/>
        <v>10.73939607</v>
      </c>
      <c r="AA20" s="34"/>
      <c r="AC20" s="34"/>
    </row>
    <row r="21" ht="15.75" customHeight="1">
      <c r="A21" s="25" t="s">
        <v>57</v>
      </c>
      <c r="B21" s="26">
        <v>50857.69257999997</v>
      </c>
      <c r="C21" s="26">
        <v>14930.214369999998</v>
      </c>
      <c r="D21" s="31">
        <f t="shared" si="1"/>
        <v>29.35684576</v>
      </c>
      <c r="E21" s="26">
        <v>30246.63637</v>
      </c>
      <c r="F21" s="31">
        <f t="shared" si="2"/>
        <v>59.47308035</v>
      </c>
      <c r="G21" s="26">
        <v>17053.66754</v>
      </c>
      <c r="H21" s="31">
        <f t="shared" si="3"/>
        <v>33.5321299</v>
      </c>
      <c r="I21" s="26">
        <v>7535.79871</v>
      </c>
      <c r="J21" s="31">
        <f t="shared" si="4"/>
        <v>14.81742157</v>
      </c>
      <c r="K21" s="26">
        <v>0.0</v>
      </c>
      <c r="L21" s="31">
        <f t="shared" si="5"/>
        <v>0</v>
      </c>
      <c r="M21" s="26">
        <v>216793.0</v>
      </c>
      <c r="N21" s="26">
        <v>30779.0</v>
      </c>
      <c r="O21" s="31">
        <f t="shared" si="6"/>
        <v>14.19741412</v>
      </c>
      <c r="P21" s="26">
        <v>85111.0</v>
      </c>
      <c r="Q21" s="31">
        <f t="shared" si="7"/>
        <v>39.25910892</v>
      </c>
      <c r="R21" s="26">
        <v>101731.0</v>
      </c>
      <c r="S21" s="31">
        <f t="shared" si="8"/>
        <v>46.92540811</v>
      </c>
      <c r="T21" s="26">
        <v>70333.0</v>
      </c>
      <c r="U21" s="31">
        <f t="shared" si="9"/>
        <v>32.44246816</v>
      </c>
      <c r="V21" s="26">
        <v>7617.0</v>
      </c>
      <c r="W21" s="31">
        <f t="shared" si="10"/>
        <v>3.513489827</v>
      </c>
      <c r="AA21" s="34"/>
      <c r="AC21" s="34"/>
    </row>
    <row r="22" ht="15.75" customHeight="1">
      <c r="A22" s="25" t="s">
        <v>59</v>
      </c>
      <c r="B22" s="26">
        <v>37516.11872</v>
      </c>
      <c r="C22" s="26">
        <v>10952.2772</v>
      </c>
      <c r="D22" s="31">
        <f t="shared" si="1"/>
        <v>29.19352421</v>
      </c>
      <c r="E22" s="26">
        <v>24266.82666</v>
      </c>
      <c r="F22" s="31">
        <f t="shared" si="2"/>
        <v>64.68373459</v>
      </c>
      <c r="G22" s="26">
        <v>2921.8767799999996</v>
      </c>
      <c r="H22" s="31">
        <f t="shared" si="3"/>
        <v>7.788323738</v>
      </c>
      <c r="I22" s="26">
        <v>1829.05069</v>
      </c>
      <c r="J22" s="31">
        <f t="shared" si="4"/>
        <v>4.875372913</v>
      </c>
      <c r="K22" s="26">
        <v>6050.397400000001</v>
      </c>
      <c r="L22" s="31">
        <f t="shared" si="5"/>
        <v>16.12746096</v>
      </c>
      <c r="M22" s="26">
        <v>562508.0</v>
      </c>
      <c r="N22" s="26">
        <v>36771.0</v>
      </c>
      <c r="O22" s="31">
        <f t="shared" si="6"/>
        <v>6.536973696</v>
      </c>
      <c r="P22" s="26">
        <v>162698.0</v>
      </c>
      <c r="Q22" s="31">
        <f t="shared" si="7"/>
        <v>28.92367753</v>
      </c>
      <c r="R22" s="26">
        <v>322901.0</v>
      </c>
      <c r="S22" s="31">
        <f t="shared" si="8"/>
        <v>57.40380581</v>
      </c>
      <c r="T22" s="26">
        <v>57577.0</v>
      </c>
      <c r="U22" s="31">
        <f t="shared" si="9"/>
        <v>10.23576554</v>
      </c>
      <c r="V22" s="26">
        <v>76561.0</v>
      </c>
      <c r="W22" s="31">
        <f t="shared" si="10"/>
        <v>13.61065087</v>
      </c>
      <c r="AA22" s="34"/>
      <c r="AC22" s="34"/>
    </row>
    <row r="23" ht="15.75" customHeight="1">
      <c r="A23" s="25" t="s">
        <v>60</v>
      </c>
      <c r="B23" s="26">
        <v>65258.837609999995</v>
      </c>
      <c r="C23" s="26">
        <v>4040.81711</v>
      </c>
      <c r="D23" s="31">
        <f t="shared" si="1"/>
        <v>6.1919845</v>
      </c>
      <c r="E23" s="26">
        <v>22053.740589999998</v>
      </c>
      <c r="F23" s="31">
        <f t="shared" si="2"/>
        <v>33.79425898</v>
      </c>
      <c r="G23" s="26">
        <v>26416.422439999995</v>
      </c>
      <c r="H23" s="31">
        <f t="shared" si="3"/>
        <v>40.47945597</v>
      </c>
      <c r="I23" s="26">
        <v>2249.98619</v>
      </c>
      <c r="J23" s="31">
        <f t="shared" si="4"/>
        <v>3.447787721</v>
      </c>
      <c r="K23" s="26">
        <v>0.0</v>
      </c>
      <c r="L23" s="31">
        <f t="shared" si="5"/>
        <v>0</v>
      </c>
      <c r="M23" s="26">
        <v>367455.0</v>
      </c>
      <c r="N23" s="26">
        <v>56271.0</v>
      </c>
      <c r="O23" s="31">
        <f t="shared" si="6"/>
        <v>15.31371188</v>
      </c>
      <c r="P23" s="26">
        <v>91430.0</v>
      </c>
      <c r="Q23" s="31">
        <f t="shared" si="7"/>
        <v>24.88195834</v>
      </c>
      <c r="R23" s="26">
        <v>266076.0</v>
      </c>
      <c r="S23" s="31">
        <f t="shared" si="8"/>
        <v>72.41049924</v>
      </c>
      <c r="T23" s="26">
        <v>34337.0</v>
      </c>
      <c r="U23" s="31">
        <f t="shared" si="9"/>
        <v>9.344545591</v>
      </c>
      <c r="V23" s="26">
        <v>11801.0</v>
      </c>
      <c r="W23" s="31">
        <f t="shared" si="10"/>
        <v>3.211549714</v>
      </c>
      <c r="AA23" s="34"/>
      <c r="AC23" s="34"/>
    </row>
    <row r="24" ht="15.75" customHeight="1">
      <c r="A24" s="25" t="s">
        <v>63</v>
      </c>
      <c r="B24" s="26">
        <v>137417.51435</v>
      </c>
      <c r="C24" s="26">
        <v>47340.40421999999</v>
      </c>
      <c r="D24" s="31">
        <f t="shared" si="1"/>
        <v>34.45005132</v>
      </c>
      <c r="E24" s="26">
        <v>27436.488110000002</v>
      </c>
      <c r="F24" s="31">
        <f t="shared" si="2"/>
        <v>19.96578692</v>
      </c>
      <c r="G24" s="26">
        <v>63836.62971999999</v>
      </c>
      <c r="H24" s="31">
        <f t="shared" si="3"/>
        <v>46.45450765</v>
      </c>
      <c r="I24" s="26">
        <v>17599.32789</v>
      </c>
      <c r="J24" s="31">
        <f t="shared" si="4"/>
        <v>12.80719417</v>
      </c>
      <c r="K24" s="26">
        <v>3415.94226</v>
      </c>
      <c r="L24" s="31">
        <f t="shared" si="5"/>
        <v>2.485812872</v>
      </c>
      <c r="M24" s="26">
        <v>513478.0</v>
      </c>
      <c r="N24" s="26">
        <v>52573.0</v>
      </c>
      <c r="O24" s="31">
        <f t="shared" si="6"/>
        <v>10.23860808</v>
      </c>
      <c r="P24" s="26">
        <v>198487.0</v>
      </c>
      <c r="Q24" s="31">
        <f t="shared" si="7"/>
        <v>38.65540491</v>
      </c>
      <c r="R24" s="26">
        <v>250482.0</v>
      </c>
      <c r="S24" s="31">
        <f t="shared" si="8"/>
        <v>48.78144731</v>
      </c>
      <c r="T24" s="26">
        <v>39098.0</v>
      </c>
      <c r="U24" s="31">
        <f t="shared" si="9"/>
        <v>7.614347645</v>
      </c>
      <c r="V24" s="26">
        <v>84586.0</v>
      </c>
      <c r="W24" s="31">
        <f t="shared" si="10"/>
        <v>16.47314977</v>
      </c>
      <c r="AA24" s="34"/>
      <c r="AC24" s="34"/>
    </row>
    <row r="25" ht="15.75" customHeight="1">
      <c r="A25" s="25" t="s">
        <v>64</v>
      </c>
      <c r="B25" s="26">
        <v>14101.318239999999</v>
      </c>
      <c r="C25" s="26">
        <v>4722.15226</v>
      </c>
      <c r="D25" s="31">
        <f t="shared" si="1"/>
        <v>33.48731076</v>
      </c>
      <c r="E25" s="26">
        <v>5825.60242</v>
      </c>
      <c r="F25" s="31">
        <f t="shared" si="2"/>
        <v>41.31246683</v>
      </c>
      <c r="G25" s="26">
        <v>3237.53539</v>
      </c>
      <c r="H25" s="31">
        <f t="shared" si="3"/>
        <v>22.9590974</v>
      </c>
      <c r="I25" s="26">
        <v>1700.90057</v>
      </c>
      <c r="J25" s="31">
        <f t="shared" si="4"/>
        <v>12.06199691</v>
      </c>
      <c r="K25" s="26">
        <v>0.0</v>
      </c>
      <c r="L25" s="31">
        <f t="shared" si="5"/>
        <v>0</v>
      </c>
      <c r="M25" s="26">
        <v>371640.0</v>
      </c>
      <c r="N25" s="26">
        <v>71940.0</v>
      </c>
      <c r="O25" s="31">
        <f t="shared" si="6"/>
        <v>19.35744269</v>
      </c>
      <c r="P25" s="26">
        <v>123251.0</v>
      </c>
      <c r="Q25" s="31">
        <f t="shared" si="7"/>
        <v>33.16408352</v>
      </c>
      <c r="R25" s="26">
        <v>207464.0</v>
      </c>
      <c r="S25" s="31">
        <f t="shared" si="8"/>
        <v>55.82391562</v>
      </c>
      <c r="T25" s="26">
        <v>49650.0</v>
      </c>
      <c r="U25" s="31">
        <f t="shared" si="9"/>
        <v>13.35970294</v>
      </c>
      <c r="V25" s="26">
        <v>24166.0</v>
      </c>
      <c r="W25" s="31">
        <f t="shared" si="10"/>
        <v>6.502529329</v>
      </c>
      <c r="AA25" s="34"/>
      <c r="AC25" s="34"/>
    </row>
    <row r="26" ht="15.75" customHeight="1">
      <c r="A26" s="25" t="s">
        <v>65</v>
      </c>
      <c r="B26" s="26">
        <v>4037.2662400000004</v>
      </c>
      <c r="C26" s="26">
        <v>268.67581</v>
      </c>
      <c r="D26" s="31">
        <f t="shared" si="1"/>
        <v>6.654894526</v>
      </c>
      <c r="E26" s="26">
        <v>985.18091</v>
      </c>
      <c r="F26" s="31">
        <f t="shared" si="2"/>
        <v>24.40217839</v>
      </c>
      <c r="G26" s="26">
        <v>969.78522</v>
      </c>
      <c r="H26" s="31">
        <f t="shared" si="3"/>
        <v>24.02083891</v>
      </c>
      <c r="I26" s="26">
        <v>1813.6243</v>
      </c>
      <c r="J26" s="31">
        <f t="shared" si="4"/>
        <v>44.92208817</v>
      </c>
      <c r="K26" s="26">
        <v>0.0</v>
      </c>
      <c r="L26" s="31">
        <f t="shared" si="5"/>
        <v>0</v>
      </c>
      <c r="M26" s="26">
        <v>131428.0</v>
      </c>
      <c r="N26" s="26">
        <v>29689.0</v>
      </c>
      <c r="O26" s="31">
        <f t="shared" si="6"/>
        <v>22.58955474</v>
      </c>
      <c r="P26" s="26">
        <v>54751.0</v>
      </c>
      <c r="Q26" s="31">
        <f t="shared" si="7"/>
        <v>41.65855069</v>
      </c>
      <c r="R26" s="26">
        <v>53942.0</v>
      </c>
      <c r="S26" s="31">
        <f t="shared" si="8"/>
        <v>41.04300453</v>
      </c>
      <c r="T26" s="26">
        <v>13605.0</v>
      </c>
      <c r="U26" s="31">
        <f t="shared" si="9"/>
        <v>10.35167544</v>
      </c>
      <c r="V26" s="26">
        <v>13100.0</v>
      </c>
      <c r="W26" s="31">
        <f t="shared" si="10"/>
        <v>9.967434641</v>
      </c>
      <c r="AA26" s="34"/>
      <c r="AC26" s="34"/>
    </row>
    <row r="27" ht="15.75" customHeight="1">
      <c r="A27" s="28"/>
      <c r="B27" s="28"/>
      <c r="C27" s="28"/>
      <c r="D27" s="28"/>
      <c r="E27" s="28"/>
      <c r="F27" s="28"/>
      <c r="G27" s="28"/>
      <c r="H27" s="28"/>
      <c r="I27" s="28"/>
      <c r="J27" s="28"/>
      <c r="K27" s="28"/>
      <c r="L27" s="28"/>
      <c r="M27" s="28"/>
      <c r="N27" s="28"/>
      <c r="O27" s="28"/>
      <c r="P27" s="28"/>
      <c r="Q27" s="28"/>
      <c r="R27" s="28"/>
      <c r="S27" s="28"/>
      <c r="T27" s="28"/>
      <c r="U27" s="28"/>
      <c r="V27" s="28"/>
      <c r="W27" s="28"/>
    </row>
    <row r="28" ht="15.75" customHeight="1">
      <c r="A28" s="9"/>
      <c r="B28" s="9"/>
      <c r="C28" s="9"/>
      <c r="D28" s="9"/>
      <c r="E28" s="9"/>
      <c r="F28" s="9"/>
      <c r="G28" s="9"/>
      <c r="H28" s="9"/>
      <c r="I28" s="9"/>
      <c r="J28" s="9"/>
      <c r="K28" s="9"/>
      <c r="L28" s="9"/>
      <c r="M28" s="9"/>
      <c r="N28" s="9"/>
      <c r="O28" s="9"/>
      <c r="P28" s="9"/>
      <c r="Q28" s="9"/>
      <c r="R28" s="9"/>
      <c r="S28" s="9"/>
      <c r="T28" s="9"/>
      <c r="U28" s="9"/>
      <c r="V28" s="9"/>
      <c r="W28" s="9"/>
    </row>
    <row r="29" ht="15.75" customHeight="1">
      <c r="A29" s="29" t="s">
        <v>69</v>
      </c>
      <c r="B29" s="29"/>
      <c r="C29" s="29"/>
      <c r="D29" s="29"/>
      <c r="E29" s="29"/>
      <c r="F29" s="29"/>
      <c r="G29" s="29"/>
      <c r="H29" s="29"/>
      <c r="I29" s="29"/>
      <c r="J29" s="29"/>
      <c r="K29" s="29"/>
      <c r="L29" s="29"/>
      <c r="M29" s="29"/>
      <c r="N29" s="29"/>
      <c r="O29" s="29"/>
      <c r="P29" s="29"/>
      <c r="Q29" s="29"/>
      <c r="R29" s="29"/>
      <c r="S29" s="29"/>
      <c r="T29" s="29"/>
      <c r="U29" s="29"/>
      <c r="V29" s="29"/>
      <c r="W29" s="29"/>
    </row>
    <row r="30" ht="15.75" customHeight="1">
      <c r="A30" s="29" t="s">
        <v>72</v>
      </c>
      <c r="B30" s="29"/>
      <c r="C30" s="29"/>
      <c r="D30" s="29"/>
      <c r="E30" s="29"/>
      <c r="F30" s="29"/>
      <c r="G30" s="29"/>
      <c r="H30" s="29"/>
      <c r="I30" s="29"/>
      <c r="J30" s="29"/>
      <c r="K30" s="29"/>
      <c r="L30" s="29"/>
      <c r="M30" s="29"/>
      <c r="N30" s="29"/>
      <c r="O30" s="29"/>
      <c r="P30" s="29"/>
      <c r="Q30" s="29"/>
      <c r="R30" s="29"/>
      <c r="S30" s="29"/>
      <c r="T30" s="29"/>
      <c r="U30" s="29"/>
      <c r="V30" s="29"/>
      <c r="W30" s="29"/>
    </row>
    <row r="31" ht="15.75" customHeight="1">
      <c r="A31" s="29" t="s">
        <v>457</v>
      </c>
      <c r="B31" s="29"/>
      <c r="C31" s="29"/>
      <c r="D31" s="29"/>
      <c r="E31" s="29"/>
      <c r="F31" s="29"/>
      <c r="G31" s="29"/>
      <c r="H31" s="29"/>
      <c r="I31" s="29"/>
      <c r="J31" s="29"/>
      <c r="K31" s="29"/>
      <c r="L31" s="29"/>
      <c r="M31" s="29"/>
      <c r="N31" s="29"/>
      <c r="O31" s="29"/>
      <c r="P31" s="29"/>
      <c r="Q31" s="29"/>
      <c r="R31" s="29"/>
      <c r="S31" s="29"/>
      <c r="T31" s="29"/>
      <c r="U31" s="29"/>
      <c r="V31" s="29"/>
      <c r="W31" s="29"/>
    </row>
    <row r="32" ht="15.75" customHeight="1">
      <c r="A32" s="32" t="s">
        <v>76</v>
      </c>
    </row>
    <row r="33" ht="15.75" customHeight="1">
      <c r="A33" s="32"/>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9">
    <mergeCell ref="C6:D6"/>
    <mergeCell ref="E6:F6"/>
    <mergeCell ref="G6:H6"/>
    <mergeCell ref="I6:J6"/>
    <mergeCell ref="K6:L6"/>
    <mergeCell ref="N6:O6"/>
    <mergeCell ref="P6:Q6"/>
    <mergeCell ref="R6:S6"/>
    <mergeCell ref="T6:U6"/>
    <mergeCell ref="V6:W6"/>
    <mergeCell ref="A32:W32"/>
    <mergeCell ref="A33:W33"/>
    <mergeCell ref="A4:A7"/>
    <mergeCell ref="B4:L4"/>
    <mergeCell ref="M4:W4"/>
    <mergeCell ref="B5:B7"/>
    <mergeCell ref="C5:L5"/>
    <mergeCell ref="M5:M7"/>
    <mergeCell ref="N5:W5"/>
  </mergeCells>
  <hyperlinks>
    <hyperlink display="BACK TO LIST" location="LIST!A1" ref="A1"/>
  </hyperlinks>
  <printOptions/>
  <pageMargins bottom="0.75" footer="0.0" header="0.0" left="0.7" right="0.7" top="0.75"/>
  <pageSetup paperSize="9" scale="63" orientation="portrait"/>
  <drawing r:id="rId1"/>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9"/>
    <pageSetUpPr/>
  </sheetPr>
  <sheetViews>
    <sheetView workbookViewId="0"/>
  </sheetViews>
  <sheetFormatPr customHeight="1" defaultColWidth="12.63" defaultRowHeight="15.0"/>
  <cols>
    <col customWidth="1" min="1" max="1" width="39.0"/>
    <col customWidth="1" min="2" max="31" width="14.0"/>
    <col customWidth="1" min="32" max="37" width="8.63"/>
  </cols>
  <sheetData>
    <row r="1">
      <c r="A1" s="5" t="s">
        <v>1</v>
      </c>
      <c r="B1" s="5"/>
      <c r="C1" s="5"/>
      <c r="D1" s="5"/>
      <c r="E1" s="5"/>
      <c r="F1" s="5"/>
      <c r="G1" s="5"/>
      <c r="H1" s="5"/>
      <c r="I1" s="5"/>
      <c r="J1" s="5"/>
      <c r="K1" s="5"/>
      <c r="L1" s="5"/>
      <c r="M1" s="5"/>
      <c r="N1" s="5"/>
      <c r="O1" s="5"/>
      <c r="P1" s="5"/>
    </row>
    <row r="2" ht="15.0" customHeight="1">
      <c r="A2" s="33" t="s">
        <v>448</v>
      </c>
      <c r="B2" s="33"/>
      <c r="C2" s="33"/>
      <c r="D2" s="33"/>
      <c r="E2" s="33"/>
      <c r="F2" s="33"/>
      <c r="G2" s="33"/>
      <c r="H2" s="33"/>
      <c r="I2" s="33"/>
      <c r="J2" s="33"/>
      <c r="K2" s="33"/>
      <c r="L2" s="33"/>
      <c r="M2" s="33"/>
      <c r="N2" s="33"/>
      <c r="O2" s="33"/>
      <c r="P2" s="33"/>
      <c r="Q2" s="53"/>
      <c r="R2" s="53"/>
      <c r="S2" s="53"/>
      <c r="T2" s="53"/>
      <c r="U2" s="53"/>
      <c r="V2" s="53"/>
      <c r="W2" s="53"/>
      <c r="Z2" s="53"/>
      <c r="AA2" s="53"/>
      <c r="AB2" s="53"/>
      <c r="AC2" s="53"/>
    </row>
    <row r="3">
      <c r="A3" s="8"/>
      <c r="B3" s="8"/>
      <c r="C3" s="8"/>
      <c r="D3" s="8"/>
      <c r="E3" s="8"/>
      <c r="F3" s="8"/>
      <c r="G3" s="8"/>
      <c r="H3" s="8"/>
      <c r="I3" s="8"/>
      <c r="J3" s="8"/>
      <c r="K3" s="8"/>
      <c r="L3" s="8"/>
      <c r="M3" s="8"/>
      <c r="N3" s="8"/>
      <c r="O3" s="8"/>
      <c r="P3" s="8"/>
      <c r="Q3" s="9"/>
      <c r="R3" s="9"/>
      <c r="S3" s="9"/>
      <c r="T3" s="9"/>
      <c r="U3" s="9"/>
      <c r="V3" s="9"/>
      <c r="W3" s="9"/>
      <c r="X3" s="9"/>
      <c r="Y3" s="9"/>
      <c r="Z3" s="9"/>
      <c r="AA3" s="9"/>
      <c r="AB3" s="9"/>
      <c r="AC3" s="9"/>
      <c r="AD3" s="9"/>
      <c r="AE3" s="9"/>
    </row>
    <row r="4">
      <c r="A4" s="10" t="s">
        <v>13</v>
      </c>
      <c r="B4" s="72">
        <v>2019.0</v>
      </c>
      <c r="C4" s="14"/>
      <c r="D4" s="14"/>
      <c r="E4" s="14"/>
      <c r="F4" s="14"/>
      <c r="G4" s="14"/>
      <c r="H4" s="14"/>
      <c r="I4" s="14"/>
      <c r="J4" s="14"/>
      <c r="K4" s="14"/>
      <c r="L4" s="14"/>
      <c r="M4" s="14"/>
      <c r="N4" s="14"/>
      <c r="O4" s="14"/>
      <c r="P4" s="15"/>
      <c r="Q4" s="72">
        <v>2024.0</v>
      </c>
      <c r="R4" s="14"/>
      <c r="S4" s="14"/>
      <c r="T4" s="14"/>
      <c r="U4" s="14"/>
      <c r="V4" s="14"/>
      <c r="W4" s="14"/>
      <c r="X4" s="14"/>
      <c r="Y4" s="14"/>
      <c r="Z4" s="14"/>
      <c r="AA4" s="14"/>
      <c r="AB4" s="14"/>
      <c r="AC4" s="14"/>
      <c r="AD4" s="14"/>
      <c r="AE4" s="15"/>
    </row>
    <row r="5" ht="20.25" customHeight="1">
      <c r="A5" s="17"/>
      <c r="B5" s="21" t="s">
        <v>449</v>
      </c>
      <c r="C5" s="38" t="s">
        <v>450</v>
      </c>
      <c r="D5" s="14"/>
      <c r="E5" s="14"/>
      <c r="F5" s="14"/>
      <c r="G5" s="14"/>
      <c r="H5" s="14"/>
      <c r="I5" s="14"/>
      <c r="J5" s="14"/>
      <c r="K5" s="14"/>
      <c r="L5" s="14"/>
      <c r="M5" s="14"/>
      <c r="N5" s="14"/>
      <c r="O5" s="14"/>
      <c r="P5" s="15"/>
      <c r="Q5" s="21" t="s">
        <v>449</v>
      </c>
      <c r="R5" s="38" t="s">
        <v>450</v>
      </c>
      <c r="S5" s="14"/>
      <c r="T5" s="14"/>
      <c r="U5" s="14"/>
      <c r="V5" s="14"/>
      <c r="W5" s="14"/>
      <c r="X5" s="14"/>
      <c r="Y5" s="14"/>
      <c r="Z5" s="14"/>
      <c r="AA5" s="14"/>
      <c r="AB5" s="14"/>
      <c r="AC5" s="14"/>
      <c r="AD5" s="14"/>
      <c r="AE5" s="15"/>
    </row>
    <row r="6" ht="20.25" customHeight="1">
      <c r="A6" s="17"/>
      <c r="B6" s="17"/>
      <c r="C6" s="13" t="s">
        <v>451</v>
      </c>
      <c r="D6" s="15"/>
      <c r="E6" s="13" t="s">
        <v>452</v>
      </c>
      <c r="F6" s="15"/>
      <c r="G6" s="13" t="s">
        <v>453</v>
      </c>
      <c r="H6" s="15"/>
      <c r="I6" s="13" t="s">
        <v>454</v>
      </c>
      <c r="J6" s="15"/>
      <c r="K6" s="13" t="s">
        <v>455</v>
      </c>
      <c r="L6" s="15"/>
      <c r="M6" s="13" t="s">
        <v>456</v>
      </c>
      <c r="N6" s="15"/>
      <c r="O6" s="13" t="s">
        <v>170</v>
      </c>
      <c r="P6" s="15"/>
      <c r="Q6" s="17"/>
      <c r="R6" s="13" t="s">
        <v>451</v>
      </c>
      <c r="S6" s="15"/>
      <c r="T6" s="13" t="s">
        <v>452</v>
      </c>
      <c r="U6" s="15"/>
      <c r="V6" s="13" t="s">
        <v>453</v>
      </c>
      <c r="W6" s="15"/>
      <c r="X6" s="13" t="s">
        <v>454</v>
      </c>
      <c r="Y6" s="15"/>
      <c r="Z6" s="13" t="s">
        <v>455</v>
      </c>
      <c r="AA6" s="15"/>
      <c r="AB6" s="13" t="s">
        <v>456</v>
      </c>
      <c r="AC6" s="15"/>
      <c r="AD6" s="13" t="s">
        <v>170</v>
      </c>
      <c r="AE6" s="15"/>
    </row>
    <row r="7" ht="20.25" customHeight="1">
      <c r="A7" s="18"/>
      <c r="B7" s="18"/>
      <c r="C7" s="24" t="s">
        <v>37</v>
      </c>
      <c r="D7" s="24" t="s">
        <v>39</v>
      </c>
      <c r="E7" s="24" t="s">
        <v>37</v>
      </c>
      <c r="F7" s="24" t="s">
        <v>39</v>
      </c>
      <c r="G7" s="24" t="s">
        <v>37</v>
      </c>
      <c r="H7" s="24" t="s">
        <v>39</v>
      </c>
      <c r="I7" s="24" t="s">
        <v>37</v>
      </c>
      <c r="J7" s="24" t="s">
        <v>39</v>
      </c>
      <c r="K7" s="24" t="s">
        <v>37</v>
      </c>
      <c r="L7" s="24" t="s">
        <v>39</v>
      </c>
      <c r="M7" s="24" t="s">
        <v>37</v>
      </c>
      <c r="N7" s="24" t="s">
        <v>39</v>
      </c>
      <c r="O7" s="24" t="s">
        <v>37</v>
      </c>
      <c r="P7" s="24" t="s">
        <v>39</v>
      </c>
      <c r="Q7" s="18"/>
      <c r="R7" s="24" t="s">
        <v>37</v>
      </c>
      <c r="S7" s="24" t="s">
        <v>39</v>
      </c>
      <c r="T7" s="24" t="s">
        <v>37</v>
      </c>
      <c r="U7" s="24" t="s">
        <v>39</v>
      </c>
      <c r="V7" s="24" t="s">
        <v>37</v>
      </c>
      <c r="W7" s="24" t="s">
        <v>39</v>
      </c>
      <c r="X7" s="24" t="s">
        <v>37</v>
      </c>
      <c r="Y7" s="24" t="s">
        <v>39</v>
      </c>
      <c r="Z7" s="24" t="s">
        <v>37</v>
      </c>
      <c r="AA7" s="24" t="s">
        <v>39</v>
      </c>
      <c r="AB7" s="24" t="s">
        <v>37</v>
      </c>
      <c r="AC7" s="24" t="s">
        <v>39</v>
      </c>
      <c r="AD7" s="24" t="s">
        <v>37</v>
      </c>
      <c r="AE7" s="24" t="s">
        <v>39</v>
      </c>
    </row>
    <row r="8">
      <c r="A8" s="16"/>
      <c r="B8" s="16"/>
      <c r="C8" s="16"/>
      <c r="D8" s="16"/>
      <c r="E8" s="16"/>
      <c r="F8" s="16"/>
      <c r="G8" s="16"/>
      <c r="H8" s="16"/>
      <c r="I8" s="16"/>
      <c r="J8" s="16"/>
      <c r="K8" s="16"/>
      <c r="L8" s="16"/>
      <c r="M8" s="16"/>
      <c r="N8" s="16"/>
      <c r="O8" s="16"/>
      <c r="P8" s="16"/>
      <c r="Q8" s="20"/>
      <c r="R8" s="20"/>
      <c r="S8" s="20"/>
      <c r="T8" s="20"/>
      <c r="U8" s="20"/>
      <c r="V8" s="20"/>
      <c r="W8" s="20"/>
      <c r="X8" s="20"/>
      <c r="Y8" s="20"/>
      <c r="Z8" s="20"/>
      <c r="AA8" s="20"/>
      <c r="AB8" s="20"/>
      <c r="AC8" s="20"/>
      <c r="AD8" s="20"/>
      <c r="AE8" s="20"/>
    </row>
    <row r="9">
      <c r="A9" s="22" t="s">
        <v>33</v>
      </c>
      <c r="B9" s="23">
        <v>4.0044739E7</v>
      </c>
      <c r="C9" s="23">
        <v>2.450485420842901E7</v>
      </c>
      <c r="D9" s="27">
        <f t="shared" ref="D9:D26" si="1">(C9/$B9)*100</f>
        <v>61.19369191</v>
      </c>
      <c r="E9" s="23">
        <v>1.5592740793980004E7</v>
      </c>
      <c r="F9" s="27">
        <f t="shared" ref="F9:F26" si="2">(E9/$B9)*100</f>
        <v>38.93830047</v>
      </c>
      <c r="G9" s="23">
        <v>757844.700221</v>
      </c>
      <c r="H9" s="27">
        <f t="shared" ref="H9:H26" si="3">(G9/$B9)*100</f>
        <v>1.892495042</v>
      </c>
      <c r="I9" s="23">
        <v>903249.8273130002</v>
      </c>
      <c r="J9" s="27">
        <f t="shared" ref="J9:J26" si="4">(I9/$B9)*100</f>
        <v>2.255601734</v>
      </c>
      <c r="K9" s="23">
        <v>2098436.914765</v>
      </c>
      <c r="L9" s="27">
        <f t="shared" ref="L9:L26" si="5">(K9/$B9)*100</f>
        <v>5.240231219</v>
      </c>
      <c r="M9" s="23">
        <v>1.2851126290993992E7</v>
      </c>
      <c r="N9" s="27">
        <f t="shared" ref="N9:N26" si="6">(M9/$B9)*100</f>
        <v>32.09192172</v>
      </c>
      <c r="O9" s="23">
        <v>501373.9125230001</v>
      </c>
      <c r="P9" s="27">
        <f t="shared" ref="P9:P26" si="7">(O9/$B9)*100</f>
        <v>1.252034412</v>
      </c>
      <c r="Q9" s="23">
        <v>3.8887814E7</v>
      </c>
      <c r="R9" s="23">
        <v>2.4020264E7</v>
      </c>
      <c r="S9" s="27">
        <f t="shared" ref="S9:S26" si="8">(R9/$Q9)*100</f>
        <v>61.76810041</v>
      </c>
      <c r="T9" s="23">
        <v>2.6624728E7</v>
      </c>
      <c r="U9" s="27">
        <f t="shared" ref="U9:U26" si="9">(T9/$Q9)*100</f>
        <v>68.46547867</v>
      </c>
      <c r="V9" s="23">
        <v>3540487.0</v>
      </c>
      <c r="W9" s="27">
        <f t="shared" ref="W9:W26" si="10">(V9/$Q9)*100</f>
        <v>9.104361073</v>
      </c>
      <c r="X9" s="23">
        <v>3427632.0</v>
      </c>
      <c r="Y9" s="27">
        <f t="shared" ref="Y9:Y26" si="11">(X9/$Q9)*100</f>
        <v>8.81415448</v>
      </c>
      <c r="Z9" s="23">
        <v>7010219.0</v>
      </c>
      <c r="AA9" s="27">
        <f t="shared" ref="AA9:AA26" si="12">(Z9/$Q9)*100</f>
        <v>18.02677569</v>
      </c>
      <c r="AB9" s="23">
        <v>7975409.0</v>
      </c>
      <c r="AC9" s="27">
        <f t="shared" ref="AC9:AC26" si="13">(AB9/$Q9)*100</f>
        <v>20.50876143</v>
      </c>
      <c r="AD9" s="23">
        <v>1826364.0</v>
      </c>
      <c r="AE9" s="27">
        <f t="shared" ref="AE9:AE26" si="14">(AD9/$Q9)*100</f>
        <v>4.696494383</v>
      </c>
      <c r="AI9" s="34"/>
      <c r="AK9" s="73"/>
    </row>
    <row r="10">
      <c r="A10" s="25" t="s">
        <v>38</v>
      </c>
      <c r="B10" s="26">
        <v>5472940.0</v>
      </c>
      <c r="C10" s="26">
        <v>3170615.312480001</v>
      </c>
      <c r="D10" s="31">
        <f t="shared" si="1"/>
        <v>57.93257943</v>
      </c>
      <c r="E10" s="26">
        <v>3048412.0998100075</v>
      </c>
      <c r="F10" s="31">
        <f t="shared" si="2"/>
        <v>55.69971715</v>
      </c>
      <c r="G10" s="26">
        <v>159481.45519999997</v>
      </c>
      <c r="H10" s="31">
        <f t="shared" si="3"/>
        <v>2.9139997</v>
      </c>
      <c r="I10" s="26">
        <v>293873.7598999999</v>
      </c>
      <c r="J10" s="31">
        <f t="shared" si="4"/>
        <v>5.369577593</v>
      </c>
      <c r="K10" s="26">
        <v>247256.54684999998</v>
      </c>
      <c r="L10" s="31">
        <f t="shared" si="5"/>
        <v>4.517801161</v>
      </c>
      <c r="M10" s="26">
        <v>1408631.4083999996</v>
      </c>
      <c r="N10" s="31">
        <f t="shared" si="6"/>
        <v>25.73811166</v>
      </c>
      <c r="O10" s="26">
        <v>5618.90288</v>
      </c>
      <c r="P10" s="31">
        <f t="shared" si="7"/>
        <v>0.1026669921</v>
      </c>
      <c r="Q10" s="26">
        <v>5410525.0</v>
      </c>
      <c r="R10" s="26">
        <v>3341313.0</v>
      </c>
      <c r="S10" s="31">
        <f t="shared" si="8"/>
        <v>61.75580004</v>
      </c>
      <c r="T10" s="26">
        <v>3594441.0</v>
      </c>
      <c r="U10" s="31">
        <f t="shared" si="9"/>
        <v>66.43423697</v>
      </c>
      <c r="V10" s="26">
        <v>460741.0</v>
      </c>
      <c r="W10" s="31">
        <f t="shared" si="10"/>
        <v>8.515643122</v>
      </c>
      <c r="X10" s="26">
        <v>514826.0</v>
      </c>
      <c r="Y10" s="31">
        <f t="shared" si="11"/>
        <v>9.515268851</v>
      </c>
      <c r="Z10" s="26">
        <v>1114619.0</v>
      </c>
      <c r="AA10" s="31">
        <f t="shared" si="12"/>
        <v>20.60093983</v>
      </c>
      <c r="AB10" s="26">
        <v>1091547.0</v>
      </c>
      <c r="AC10" s="31">
        <f t="shared" si="13"/>
        <v>20.17451172</v>
      </c>
      <c r="AD10" s="26">
        <v>273221.0</v>
      </c>
      <c r="AE10" s="31">
        <f t="shared" si="14"/>
        <v>5.049805703</v>
      </c>
      <c r="AI10" s="34"/>
      <c r="AK10" s="73"/>
    </row>
    <row r="11">
      <c r="A11" s="25" t="s">
        <v>41</v>
      </c>
      <c r="B11" s="26">
        <v>544145.0</v>
      </c>
      <c r="C11" s="26">
        <v>359189.6385760003</v>
      </c>
      <c r="D11" s="31">
        <f t="shared" si="1"/>
        <v>66.00991254</v>
      </c>
      <c r="E11" s="26">
        <v>175018.9305010003</v>
      </c>
      <c r="F11" s="31">
        <f t="shared" si="2"/>
        <v>32.16402439</v>
      </c>
      <c r="G11" s="26">
        <v>5984.92512</v>
      </c>
      <c r="H11" s="31">
        <f t="shared" si="3"/>
        <v>1.099876893</v>
      </c>
      <c r="I11" s="26">
        <v>4953.673</v>
      </c>
      <c r="J11" s="31">
        <f t="shared" si="4"/>
        <v>0.9103590036</v>
      </c>
      <c r="K11" s="26">
        <v>17564.490174000002</v>
      </c>
      <c r="L11" s="31">
        <f t="shared" si="5"/>
        <v>3.227906197</v>
      </c>
      <c r="M11" s="26">
        <v>146075.45169099994</v>
      </c>
      <c r="N11" s="31">
        <f t="shared" si="6"/>
        <v>26.84494973</v>
      </c>
      <c r="O11" s="26">
        <v>5436.96366</v>
      </c>
      <c r="P11" s="31">
        <f t="shared" si="7"/>
        <v>0.9991755249</v>
      </c>
      <c r="Q11" s="26">
        <v>745374.0</v>
      </c>
      <c r="R11" s="26">
        <v>364033.0</v>
      </c>
      <c r="S11" s="31">
        <f t="shared" si="8"/>
        <v>48.83897211</v>
      </c>
      <c r="T11" s="26">
        <v>596269.0</v>
      </c>
      <c r="U11" s="31">
        <f t="shared" si="9"/>
        <v>79.99594834</v>
      </c>
      <c r="V11" s="26">
        <v>104087.0</v>
      </c>
      <c r="W11" s="31">
        <f t="shared" si="10"/>
        <v>13.96439908</v>
      </c>
      <c r="X11" s="26">
        <v>119271.0</v>
      </c>
      <c r="Y11" s="31">
        <f t="shared" si="11"/>
        <v>16.00149723</v>
      </c>
      <c r="Z11" s="26">
        <v>266929.0</v>
      </c>
      <c r="AA11" s="31">
        <f t="shared" si="12"/>
        <v>35.81141816</v>
      </c>
      <c r="AB11" s="26">
        <v>147069.0</v>
      </c>
      <c r="AC11" s="31">
        <f t="shared" si="13"/>
        <v>19.73090019</v>
      </c>
      <c r="AD11" s="26">
        <v>47026.0</v>
      </c>
      <c r="AE11" s="31">
        <f t="shared" si="14"/>
        <v>6.309047539</v>
      </c>
      <c r="AI11" s="34"/>
      <c r="AK11" s="73"/>
    </row>
    <row r="12">
      <c r="A12" s="25" t="s">
        <v>43</v>
      </c>
      <c r="B12" s="26">
        <v>2248324.0</v>
      </c>
      <c r="C12" s="26">
        <v>1372707.7860599987</v>
      </c>
      <c r="D12" s="31">
        <f t="shared" si="1"/>
        <v>61.05471391</v>
      </c>
      <c r="E12" s="26">
        <v>943877.9957199998</v>
      </c>
      <c r="F12" s="31">
        <f t="shared" si="2"/>
        <v>41.98140462</v>
      </c>
      <c r="G12" s="26">
        <v>14529.62472</v>
      </c>
      <c r="H12" s="31">
        <f t="shared" si="3"/>
        <v>0.6462424775</v>
      </c>
      <c r="I12" s="26">
        <v>37004.68331</v>
      </c>
      <c r="J12" s="31">
        <f t="shared" si="4"/>
        <v>1.645878588</v>
      </c>
      <c r="K12" s="26">
        <v>107000.54285999999</v>
      </c>
      <c r="L12" s="31">
        <f t="shared" si="5"/>
        <v>4.759124702</v>
      </c>
      <c r="M12" s="26">
        <v>926015.5083400001</v>
      </c>
      <c r="N12" s="31">
        <f t="shared" si="6"/>
        <v>41.1869245</v>
      </c>
      <c r="O12" s="26">
        <v>11874.98562</v>
      </c>
      <c r="P12" s="31">
        <f t="shared" si="7"/>
        <v>0.5281705671</v>
      </c>
      <c r="Q12" s="26">
        <v>2070739.0</v>
      </c>
      <c r="R12" s="26">
        <v>1204250.0</v>
      </c>
      <c r="S12" s="31">
        <f t="shared" si="8"/>
        <v>58.15556668</v>
      </c>
      <c r="T12" s="26">
        <v>1600337.0</v>
      </c>
      <c r="U12" s="31">
        <f t="shared" si="9"/>
        <v>77.28337565</v>
      </c>
      <c r="V12" s="26">
        <v>68960.0</v>
      </c>
      <c r="W12" s="31">
        <f t="shared" si="10"/>
        <v>3.330212064</v>
      </c>
      <c r="X12" s="26">
        <v>129694.0</v>
      </c>
      <c r="Y12" s="31">
        <f t="shared" si="11"/>
        <v>6.263174644</v>
      </c>
      <c r="Z12" s="26">
        <v>457880.0</v>
      </c>
      <c r="AA12" s="31">
        <f t="shared" si="12"/>
        <v>22.1119127</v>
      </c>
      <c r="AB12" s="26">
        <v>312169.0</v>
      </c>
      <c r="AC12" s="31">
        <f t="shared" si="13"/>
        <v>15.07524608</v>
      </c>
      <c r="AD12" s="26">
        <v>18281.0</v>
      </c>
      <c r="AE12" s="31">
        <f t="shared" si="14"/>
        <v>0.8828249239</v>
      </c>
      <c r="AI12" s="34"/>
      <c r="AK12" s="73"/>
    </row>
    <row r="13">
      <c r="A13" s="25" t="s">
        <v>44</v>
      </c>
      <c r="B13" s="26">
        <v>1585510.0</v>
      </c>
      <c r="C13" s="26">
        <v>581372.1370770002</v>
      </c>
      <c r="D13" s="31">
        <f t="shared" si="1"/>
        <v>36.66783162</v>
      </c>
      <c r="E13" s="26">
        <v>776291.9111110003</v>
      </c>
      <c r="F13" s="31">
        <f t="shared" si="2"/>
        <v>48.96165342</v>
      </c>
      <c r="G13" s="26">
        <v>9581.546314</v>
      </c>
      <c r="H13" s="31">
        <f t="shared" si="3"/>
        <v>0.6043195132</v>
      </c>
      <c r="I13" s="26">
        <v>21899.861683000003</v>
      </c>
      <c r="J13" s="31">
        <f t="shared" si="4"/>
        <v>1.381250303</v>
      </c>
      <c r="K13" s="26">
        <v>118602.64328500001</v>
      </c>
      <c r="L13" s="31">
        <f t="shared" si="5"/>
        <v>7.480409665</v>
      </c>
      <c r="M13" s="26">
        <v>621609.2954290002</v>
      </c>
      <c r="N13" s="31">
        <f t="shared" si="6"/>
        <v>39.20563701</v>
      </c>
      <c r="O13" s="26">
        <v>1348.116303</v>
      </c>
      <c r="P13" s="31">
        <f t="shared" si="7"/>
        <v>0.0850272974</v>
      </c>
      <c r="Q13" s="26">
        <v>1498442.0</v>
      </c>
      <c r="R13" s="26">
        <v>765778.0</v>
      </c>
      <c r="S13" s="31">
        <f t="shared" si="8"/>
        <v>51.10494767</v>
      </c>
      <c r="T13" s="26">
        <v>1074440.0</v>
      </c>
      <c r="U13" s="31">
        <f t="shared" si="9"/>
        <v>71.70380969</v>
      </c>
      <c r="V13" s="26">
        <v>199947.0</v>
      </c>
      <c r="W13" s="31">
        <f t="shared" si="10"/>
        <v>13.34365961</v>
      </c>
      <c r="X13" s="26">
        <v>209638.0</v>
      </c>
      <c r="Y13" s="31">
        <f t="shared" si="11"/>
        <v>13.99039803</v>
      </c>
      <c r="Z13" s="26">
        <v>561990.0</v>
      </c>
      <c r="AA13" s="31">
        <f t="shared" si="12"/>
        <v>37.50495515</v>
      </c>
      <c r="AB13" s="26">
        <v>326172.0</v>
      </c>
      <c r="AC13" s="31">
        <f t="shared" si="13"/>
        <v>21.76740908</v>
      </c>
      <c r="AD13" s="26">
        <v>83542.0</v>
      </c>
      <c r="AE13" s="31">
        <f t="shared" si="14"/>
        <v>5.575257501</v>
      </c>
      <c r="AI13" s="34"/>
      <c r="AK13" s="73"/>
    </row>
    <row r="14">
      <c r="A14" s="25" t="s">
        <v>46</v>
      </c>
      <c r="B14" s="26">
        <v>5198688.0</v>
      </c>
      <c r="C14" s="26">
        <v>3030677.211870001</v>
      </c>
      <c r="D14" s="31">
        <f t="shared" si="1"/>
        <v>58.29696285</v>
      </c>
      <c r="E14" s="26">
        <v>2804136.3915299973</v>
      </c>
      <c r="F14" s="31">
        <f t="shared" si="2"/>
        <v>53.93930914</v>
      </c>
      <c r="G14" s="26">
        <v>131616.79103999998</v>
      </c>
      <c r="H14" s="31">
        <f t="shared" si="3"/>
        <v>2.531730911</v>
      </c>
      <c r="I14" s="26">
        <v>131365.43462</v>
      </c>
      <c r="J14" s="31">
        <f t="shared" si="4"/>
        <v>2.526895913</v>
      </c>
      <c r="K14" s="26">
        <v>671867.4338499998</v>
      </c>
      <c r="L14" s="31">
        <f t="shared" si="5"/>
        <v>12.92378835</v>
      </c>
      <c r="M14" s="26">
        <v>2254864.704059993</v>
      </c>
      <c r="N14" s="31">
        <f t="shared" si="6"/>
        <v>43.3737263</v>
      </c>
      <c r="O14" s="26">
        <v>3890.45233</v>
      </c>
      <c r="P14" s="31">
        <f t="shared" si="7"/>
        <v>0.07483527248</v>
      </c>
      <c r="Q14" s="26">
        <v>4087859.0</v>
      </c>
      <c r="R14" s="26">
        <v>2602082.0</v>
      </c>
      <c r="S14" s="31">
        <f t="shared" si="8"/>
        <v>63.65390783</v>
      </c>
      <c r="T14" s="26">
        <v>2301038.0</v>
      </c>
      <c r="U14" s="31">
        <f t="shared" si="9"/>
        <v>56.2895638</v>
      </c>
      <c r="V14" s="26">
        <v>252199.0</v>
      </c>
      <c r="W14" s="31">
        <f t="shared" si="10"/>
        <v>6.16946426</v>
      </c>
      <c r="X14" s="26">
        <v>267204.0</v>
      </c>
      <c r="Y14" s="31">
        <f t="shared" si="11"/>
        <v>6.536526822</v>
      </c>
      <c r="Z14" s="26">
        <v>479491.0</v>
      </c>
      <c r="AA14" s="31">
        <f t="shared" si="12"/>
        <v>11.72963647</v>
      </c>
      <c r="AB14" s="26">
        <v>1253656.0</v>
      </c>
      <c r="AC14" s="31">
        <f t="shared" si="13"/>
        <v>30.66778967</v>
      </c>
      <c r="AD14" s="26">
        <v>342892.0</v>
      </c>
      <c r="AE14" s="31">
        <f t="shared" si="14"/>
        <v>8.388058394</v>
      </c>
      <c r="AI14" s="34"/>
      <c r="AK14" s="73"/>
    </row>
    <row r="15">
      <c r="A15" s="25" t="s">
        <v>48</v>
      </c>
      <c r="B15" s="26">
        <v>5437641.0</v>
      </c>
      <c r="C15" s="26">
        <v>4142745.125970005</v>
      </c>
      <c r="D15" s="31">
        <f t="shared" si="1"/>
        <v>76.18644052</v>
      </c>
      <c r="E15" s="26">
        <v>1779486.9002199983</v>
      </c>
      <c r="F15" s="31">
        <f t="shared" si="2"/>
        <v>32.72534726</v>
      </c>
      <c r="G15" s="26">
        <v>97488.21992</v>
      </c>
      <c r="H15" s="31">
        <f t="shared" si="3"/>
        <v>1.792840313</v>
      </c>
      <c r="I15" s="26">
        <v>84232.59658999999</v>
      </c>
      <c r="J15" s="31">
        <f t="shared" si="4"/>
        <v>1.549065056</v>
      </c>
      <c r="K15" s="26">
        <v>155664.60766</v>
      </c>
      <c r="L15" s="31">
        <f t="shared" si="5"/>
        <v>2.862723149</v>
      </c>
      <c r="M15" s="26">
        <v>1080058.8785699997</v>
      </c>
      <c r="N15" s="31">
        <f t="shared" si="6"/>
        <v>19.86263673</v>
      </c>
      <c r="O15" s="26">
        <v>263921.2382400001</v>
      </c>
      <c r="P15" s="31">
        <f t="shared" si="7"/>
        <v>4.853598063</v>
      </c>
      <c r="Q15" s="26">
        <v>5959791.0</v>
      </c>
      <c r="R15" s="26">
        <v>3626061.0</v>
      </c>
      <c r="S15" s="31">
        <f t="shared" si="8"/>
        <v>60.84208322</v>
      </c>
      <c r="T15" s="26">
        <v>4189941.0</v>
      </c>
      <c r="U15" s="31">
        <f t="shared" si="9"/>
        <v>70.30348883</v>
      </c>
      <c r="V15" s="26">
        <v>420910.0</v>
      </c>
      <c r="W15" s="31">
        <f t="shared" si="10"/>
        <v>7.062495984</v>
      </c>
      <c r="X15" s="26">
        <v>422839.0</v>
      </c>
      <c r="Y15" s="31">
        <f t="shared" si="11"/>
        <v>7.09486289</v>
      </c>
      <c r="Z15" s="26">
        <v>789618.0</v>
      </c>
      <c r="AA15" s="31">
        <f t="shared" si="12"/>
        <v>13.24908877</v>
      </c>
      <c r="AB15" s="26">
        <v>848145.0</v>
      </c>
      <c r="AC15" s="31">
        <f t="shared" si="13"/>
        <v>14.23111985</v>
      </c>
      <c r="AD15" s="26">
        <v>295662.0</v>
      </c>
      <c r="AE15" s="31">
        <f t="shared" si="14"/>
        <v>4.960945778</v>
      </c>
      <c r="AI15" s="34"/>
      <c r="AK15" s="73"/>
    </row>
    <row r="16">
      <c r="A16" s="25" t="s">
        <v>50</v>
      </c>
      <c r="B16" s="26">
        <v>1083276.0</v>
      </c>
      <c r="C16" s="26">
        <v>618714.1964900007</v>
      </c>
      <c r="D16" s="31">
        <f t="shared" si="1"/>
        <v>57.11510238</v>
      </c>
      <c r="E16" s="26">
        <v>190076.77704</v>
      </c>
      <c r="F16" s="31">
        <f t="shared" si="2"/>
        <v>17.54647726</v>
      </c>
      <c r="G16" s="26">
        <v>2420.61073</v>
      </c>
      <c r="H16" s="31">
        <f t="shared" si="3"/>
        <v>0.2234528163</v>
      </c>
      <c r="I16" s="26">
        <v>9653.840499999998</v>
      </c>
      <c r="J16" s="31">
        <f t="shared" si="4"/>
        <v>0.891170902</v>
      </c>
      <c r="K16" s="26">
        <v>40063.627969999994</v>
      </c>
      <c r="L16" s="31">
        <f t="shared" si="5"/>
        <v>3.698376773</v>
      </c>
      <c r="M16" s="26">
        <v>499760.56941000035</v>
      </c>
      <c r="N16" s="31">
        <f t="shared" si="6"/>
        <v>46.13418643</v>
      </c>
      <c r="O16" s="26">
        <v>76853.98959000001</v>
      </c>
      <c r="P16" s="31">
        <f t="shared" si="7"/>
        <v>7.094589891</v>
      </c>
      <c r="Q16" s="26">
        <v>984524.0</v>
      </c>
      <c r="R16" s="26">
        <v>426331.0</v>
      </c>
      <c r="S16" s="31">
        <f t="shared" si="8"/>
        <v>43.30326127</v>
      </c>
      <c r="T16" s="26">
        <v>682584.0</v>
      </c>
      <c r="U16" s="31">
        <f t="shared" si="9"/>
        <v>69.33137232</v>
      </c>
      <c r="V16" s="26">
        <v>78873.0</v>
      </c>
      <c r="W16" s="31">
        <f t="shared" si="10"/>
        <v>8.01128261</v>
      </c>
      <c r="X16" s="26">
        <v>66170.0</v>
      </c>
      <c r="Y16" s="31">
        <f t="shared" si="11"/>
        <v>6.721014419</v>
      </c>
      <c r="Z16" s="26">
        <v>118513.0</v>
      </c>
      <c r="AA16" s="31">
        <f t="shared" si="12"/>
        <v>12.0375938</v>
      </c>
      <c r="AB16" s="26">
        <v>245088.0</v>
      </c>
      <c r="AC16" s="31">
        <f t="shared" si="13"/>
        <v>24.89406048</v>
      </c>
      <c r="AD16" s="26">
        <v>28273.0</v>
      </c>
      <c r="AE16" s="31">
        <f t="shared" si="14"/>
        <v>2.871743096</v>
      </c>
      <c r="AI16" s="34"/>
      <c r="AK16" s="73"/>
    </row>
    <row r="17">
      <c r="A17" s="25" t="s">
        <v>51</v>
      </c>
      <c r="B17" s="26">
        <v>2218560.0</v>
      </c>
      <c r="C17" s="26">
        <v>1340085.2300490013</v>
      </c>
      <c r="D17" s="31">
        <f t="shared" si="1"/>
        <v>60.40338012</v>
      </c>
      <c r="E17" s="26">
        <v>577040.7108500001</v>
      </c>
      <c r="F17" s="31">
        <f t="shared" si="2"/>
        <v>26.00969597</v>
      </c>
      <c r="G17" s="26">
        <v>44720.324100000005</v>
      </c>
      <c r="H17" s="31">
        <f t="shared" si="3"/>
        <v>2.015736518</v>
      </c>
      <c r="I17" s="26">
        <v>114963.64685000002</v>
      </c>
      <c r="J17" s="31">
        <f t="shared" si="4"/>
        <v>5.181903886</v>
      </c>
      <c r="K17" s="26">
        <v>146777.91499</v>
      </c>
      <c r="L17" s="31">
        <f t="shared" si="5"/>
        <v>6.615909193</v>
      </c>
      <c r="M17" s="26">
        <v>380822.6609199998</v>
      </c>
      <c r="N17" s="31">
        <f t="shared" si="6"/>
        <v>17.16530817</v>
      </c>
      <c r="O17" s="26">
        <v>4848.5449</v>
      </c>
      <c r="P17" s="31">
        <f t="shared" si="7"/>
        <v>0.2185446821</v>
      </c>
      <c r="Q17" s="26">
        <v>1713224.0</v>
      </c>
      <c r="R17" s="26">
        <v>878136.0</v>
      </c>
      <c r="S17" s="31">
        <f t="shared" si="8"/>
        <v>51.25634476</v>
      </c>
      <c r="T17" s="26">
        <v>1158552.0</v>
      </c>
      <c r="U17" s="31">
        <f t="shared" si="9"/>
        <v>67.62408185</v>
      </c>
      <c r="V17" s="26">
        <v>232266.0</v>
      </c>
      <c r="W17" s="31">
        <f t="shared" si="10"/>
        <v>13.55724645</v>
      </c>
      <c r="X17" s="26">
        <v>169691.0</v>
      </c>
      <c r="Y17" s="31">
        <f t="shared" si="11"/>
        <v>9.904776025</v>
      </c>
      <c r="Z17" s="26">
        <v>235869.0</v>
      </c>
      <c r="AA17" s="31">
        <f t="shared" si="12"/>
        <v>13.7675517</v>
      </c>
      <c r="AB17" s="26">
        <v>413934.0</v>
      </c>
      <c r="AC17" s="31">
        <f t="shared" si="13"/>
        <v>24.16111378</v>
      </c>
      <c r="AD17" s="26">
        <v>106242.0</v>
      </c>
      <c r="AE17" s="31">
        <f t="shared" si="14"/>
        <v>6.201290666</v>
      </c>
      <c r="AI17" s="34"/>
      <c r="AK17" s="73"/>
    </row>
    <row r="18">
      <c r="A18" s="25" t="s">
        <v>53</v>
      </c>
      <c r="B18" s="26">
        <v>2757458.0</v>
      </c>
      <c r="C18" s="26">
        <v>1887868.9932199998</v>
      </c>
      <c r="D18" s="31">
        <f t="shared" si="1"/>
        <v>68.46410691</v>
      </c>
      <c r="E18" s="26">
        <v>1262119.6397399993</v>
      </c>
      <c r="F18" s="31">
        <f t="shared" si="2"/>
        <v>45.77112833</v>
      </c>
      <c r="G18" s="26">
        <v>97332.85551000001</v>
      </c>
      <c r="H18" s="31">
        <f t="shared" si="3"/>
        <v>3.529803736</v>
      </c>
      <c r="I18" s="26">
        <v>55319.8884</v>
      </c>
      <c r="J18" s="31">
        <f t="shared" si="4"/>
        <v>2.006191514</v>
      </c>
      <c r="K18" s="26">
        <v>65213.70577</v>
      </c>
      <c r="L18" s="31">
        <f t="shared" si="5"/>
        <v>2.36499362</v>
      </c>
      <c r="M18" s="26">
        <v>535500.5118299999</v>
      </c>
      <c r="N18" s="31">
        <f t="shared" si="6"/>
        <v>19.42007863</v>
      </c>
      <c r="O18" s="26">
        <v>636.45715</v>
      </c>
      <c r="P18" s="31">
        <f t="shared" si="7"/>
        <v>0.02308129988</v>
      </c>
      <c r="Q18" s="26">
        <v>2679653.0</v>
      </c>
      <c r="R18" s="26">
        <v>1866050.0</v>
      </c>
      <c r="S18" s="31">
        <f t="shared" si="8"/>
        <v>69.63774787</v>
      </c>
      <c r="T18" s="26">
        <v>1773169.0</v>
      </c>
      <c r="U18" s="31">
        <f t="shared" si="9"/>
        <v>66.17159013</v>
      </c>
      <c r="V18" s="26">
        <v>340756.0</v>
      </c>
      <c r="W18" s="31">
        <f t="shared" si="10"/>
        <v>12.71642261</v>
      </c>
      <c r="X18" s="26">
        <v>268824.0</v>
      </c>
      <c r="Y18" s="31">
        <f t="shared" si="11"/>
        <v>10.03204519</v>
      </c>
      <c r="Z18" s="26">
        <v>361471.0</v>
      </c>
      <c r="AA18" s="31">
        <f t="shared" si="12"/>
        <v>13.48947047</v>
      </c>
      <c r="AB18" s="26">
        <v>533361.0</v>
      </c>
      <c r="AC18" s="31">
        <f t="shared" si="13"/>
        <v>19.90410699</v>
      </c>
      <c r="AD18" s="26">
        <v>52572.0</v>
      </c>
      <c r="AE18" s="31">
        <f t="shared" si="14"/>
        <v>1.961895813</v>
      </c>
      <c r="AI18" s="34"/>
      <c r="AK18" s="73"/>
    </row>
    <row r="19">
      <c r="A19" s="25" t="s">
        <v>54</v>
      </c>
      <c r="B19" s="26">
        <v>2244264.0</v>
      </c>
      <c r="C19" s="26">
        <v>1542386.2934299998</v>
      </c>
      <c r="D19" s="31">
        <f t="shared" si="1"/>
        <v>68.72570667</v>
      </c>
      <c r="E19" s="26">
        <v>255135.3594300001</v>
      </c>
      <c r="F19" s="31">
        <f t="shared" si="2"/>
        <v>11.36833097</v>
      </c>
      <c r="G19" s="26">
        <v>31531.336000000003</v>
      </c>
      <c r="H19" s="31">
        <f t="shared" si="3"/>
        <v>1.404974459</v>
      </c>
      <c r="I19" s="26">
        <v>26451.40361</v>
      </c>
      <c r="J19" s="31">
        <f t="shared" si="4"/>
        <v>1.17862264</v>
      </c>
      <c r="K19" s="26">
        <v>67467.54388</v>
      </c>
      <c r="L19" s="31">
        <f t="shared" si="5"/>
        <v>3.006221366</v>
      </c>
      <c r="M19" s="26">
        <v>814105.7830999994</v>
      </c>
      <c r="N19" s="31">
        <f t="shared" si="6"/>
        <v>36.2749562</v>
      </c>
      <c r="O19" s="26">
        <v>896.2364799999999</v>
      </c>
      <c r="P19" s="31">
        <f t="shared" si="7"/>
        <v>0.0399345389</v>
      </c>
      <c r="Q19" s="26">
        <v>3024948.0</v>
      </c>
      <c r="R19" s="26">
        <v>1935798.0</v>
      </c>
      <c r="S19" s="31">
        <f t="shared" si="8"/>
        <v>63.99442238</v>
      </c>
      <c r="T19" s="26">
        <v>2004938.0</v>
      </c>
      <c r="U19" s="31">
        <f t="shared" si="9"/>
        <v>66.28008151</v>
      </c>
      <c r="V19" s="26">
        <v>337838.0</v>
      </c>
      <c r="W19" s="31">
        <f t="shared" si="10"/>
        <v>11.16839033</v>
      </c>
      <c r="X19" s="26">
        <v>271068.0</v>
      </c>
      <c r="Y19" s="31">
        <f t="shared" si="11"/>
        <v>8.961079662</v>
      </c>
      <c r="Z19" s="26">
        <v>655551.0</v>
      </c>
      <c r="AA19" s="31">
        <f t="shared" si="12"/>
        <v>21.67147997</v>
      </c>
      <c r="AB19" s="26">
        <v>569852.0</v>
      </c>
      <c r="AC19" s="31">
        <f t="shared" si="13"/>
        <v>18.83840648</v>
      </c>
      <c r="AD19" s="26">
        <v>221439.0</v>
      </c>
      <c r="AE19" s="31">
        <f t="shared" si="14"/>
        <v>7.320423359</v>
      </c>
      <c r="AI19" s="34"/>
      <c r="AK19" s="73"/>
    </row>
    <row r="20">
      <c r="A20" s="25" t="s">
        <v>56</v>
      </c>
      <c r="B20" s="26">
        <v>2156401.0</v>
      </c>
      <c r="C20" s="26">
        <v>1040059.2332850003</v>
      </c>
      <c r="D20" s="31">
        <f t="shared" si="1"/>
        <v>48.23125352</v>
      </c>
      <c r="E20" s="26">
        <v>762158.0125380009</v>
      </c>
      <c r="F20" s="31">
        <f t="shared" si="2"/>
        <v>35.34398345</v>
      </c>
      <c r="G20" s="26">
        <v>5913.321157000001</v>
      </c>
      <c r="H20" s="31">
        <f t="shared" si="3"/>
        <v>0.2742217777</v>
      </c>
      <c r="I20" s="26">
        <v>9732.43</v>
      </c>
      <c r="J20" s="31">
        <f t="shared" si="4"/>
        <v>0.4513274665</v>
      </c>
      <c r="K20" s="26">
        <v>118074.66912600002</v>
      </c>
      <c r="L20" s="31">
        <f t="shared" si="5"/>
        <v>5.475543237</v>
      </c>
      <c r="M20" s="26">
        <v>963099.9797460001</v>
      </c>
      <c r="N20" s="31">
        <f t="shared" si="6"/>
        <v>44.66237865</v>
      </c>
      <c r="O20" s="26">
        <v>73599.43548</v>
      </c>
      <c r="P20" s="31">
        <f t="shared" si="7"/>
        <v>3.413068139</v>
      </c>
      <c r="Q20" s="26">
        <v>1759609.0</v>
      </c>
      <c r="R20" s="26">
        <v>1217662.0</v>
      </c>
      <c r="S20" s="31">
        <f t="shared" si="8"/>
        <v>69.20071448</v>
      </c>
      <c r="T20" s="26">
        <v>1145548.0</v>
      </c>
      <c r="U20" s="31">
        <f t="shared" si="9"/>
        <v>65.10241764</v>
      </c>
      <c r="V20" s="26">
        <v>108375.0</v>
      </c>
      <c r="W20" s="31">
        <f t="shared" si="10"/>
        <v>6.159038741</v>
      </c>
      <c r="X20" s="26">
        <v>119740.0</v>
      </c>
      <c r="Y20" s="31">
        <f t="shared" si="11"/>
        <v>6.804920866</v>
      </c>
      <c r="Z20" s="26">
        <v>207193.0</v>
      </c>
      <c r="AA20" s="31">
        <f t="shared" si="12"/>
        <v>11.77494546</v>
      </c>
      <c r="AB20" s="26">
        <v>360213.0</v>
      </c>
      <c r="AC20" s="31">
        <f t="shared" si="13"/>
        <v>20.47119559</v>
      </c>
      <c r="AD20" s="26">
        <v>110808.0</v>
      </c>
      <c r="AE20" s="31">
        <f t="shared" si="14"/>
        <v>6.297308095</v>
      </c>
      <c r="AI20" s="34"/>
      <c r="AK20" s="73"/>
    </row>
    <row r="21" ht="15.75" customHeight="1">
      <c r="A21" s="25" t="s">
        <v>57</v>
      </c>
      <c r="B21" s="26">
        <v>1365345.0</v>
      </c>
      <c r="C21" s="26">
        <v>754284.1831300001</v>
      </c>
      <c r="D21" s="31">
        <f t="shared" si="1"/>
        <v>55.24495151</v>
      </c>
      <c r="E21" s="26">
        <v>435970.64895000006</v>
      </c>
      <c r="F21" s="31">
        <f t="shared" si="2"/>
        <v>31.93117117</v>
      </c>
      <c r="G21" s="26">
        <v>8923.3384</v>
      </c>
      <c r="H21" s="31">
        <f t="shared" si="3"/>
        <v>0.6535592396</v>
      </c>
      <c r="I21" s="26">
        <v>838.50473</v>
      </c>
      <c r="J21" s="31">
        <f t="shared" si="4"/>
        <v>0.06141339588</v>
      </c>
      <c r="K21" s="26">
        <v>29721.395940000002</v>
      </c>
      <c r="L21" s="31">
        <f t="shared" si="5"/>
        <v>2.176841453</v>
      </c>
      <c r="M21" s="26">
        <v>455289.67923999974</v>
      </c>
      <c r="N21" s="31">
        <f t="shared" si="6"/>
        <v>33.34612711</v>
      </c>
      <c r="O21" s="26">
        <v>1315.2159299999998</v>
      </c>
      <c r="P21" s="31">
        <f t="shared" si="7"/>
        <v>0.09632846863</v>
      </c>
      <c r="Q21" s="26">
        <v>1257322.0</v>
      </c>
      <c r="R21" s="26">
        <v>918077.0</v>
      </c>
      <c r="S21" s="31">
        <f t="shared" si="8"/>
        <v>73.01844714</v>
      </c>
      <c r="T21" s="26">
        <v>913059.0</v>
      </c>
      <c r="U21" s="31">
        <f t="shared" si="9"/>
        <v>72.61934493</v>
      </c>
      <c r="V21" s="26">
        <v>63975.0</v>
      </c>
      <c r="W21" s="31">
        <f t="shared" si="10"/>
        <v>5.088195387</v>
      </c>
      <c r="X21" s="26">
        <v>83809.0</v>
      </c>
      <c r="Y21" s="31">
        <f t="shared" si="11"/>
        <v>6.665675141</v>
      </c>
      <c r="Z21" s="26">
        <v>175421.0</v>
      </c>
      <c r="AA21" s="31">
        <f t="shared" si="12"/>
        <v>13.95195503</v>
      </c>
      <c r="AB21" s="26">
        <v>262292.0</v>
      </c>
      <c r="AC21" s="31">
        <f t="shared" si="13"/>
        <v>20.86116365</v>
      </c>
      <c r="AD21" s="26">
        <v>11873.0</v>
      </c>
      <c r="AE21" s="31">
        <f t="shared" si="14"/>
        <v>0.9443086178</v>
      </c>
      <c r="AI21" s="34"/>
      <c r="AK21" s="73"/>
    </row>
    <row r="22" ht="15.75" customHeight="1">
      <c r="A22" s="25" t="s">
        <v>59</v>
      </c>
      <c r="B22" s="26">
        <v>1517947.0</v>
      </c>
      <c r="C22" s="26">
        <v>807245.3573400002</v>
      </c>
      <c r="D22" s="31">
        <f t="shared" si="1"/>
        <v>53.18007528</v>
      </c>
      <c r="E22" s="26">
        <v>455914.5656199999</v>
      </c>
      <c r="F22" s="31">
        <f t="shared" si="2"/>
        <v>30.03494625</v>
      </c>
      <c r="G22" s="26">
        <v>8869.65866</v>
      </c>
      <c r="H22" s="31">
        <f t="shared" si="3"/>
        <v>0.5843193906</v>
      </c>
      <c r="I22" s="26">
        <v>10165.031659999999</v>
      </c>
      <c r="J22" s="31">
        <f t="shared" si="4"/>
        <v>0.6696565598</v>
      </c>
      <c r="K22" s="26">
        <v>33009.32032</v>
      </c>
      <c r="L22" s="31">
        <f t="shared" si="5"/>
        <v>2.174602955</v>
      </c>
      <c r="M22" s="26">
        <v>764190.0221100005</v>
      </c>
      <c r="N22" s="31">
        <f t="shared" si="6"/>
        <v>50.34365641</v>
      </c>
      <c r="O22" s="26">
        <v>1060.0</v>
      </c>
      <c r="P22" s="31">
        <f t="shared" si="7"/>
        <v>0.06983116011</v>
      </c>
      <c r="Q22" s="26">
        <v>1888514.0</v>
      </c>
      <c r="R22" s="26">
        <v>1123870.0</v>
      </c>
      <c r="S22" s="31">
        <f t="shared" si="8"/>
        <v>59.51081115</v>
      </c>
      <c r="T22" s="26">
        <v>1301995.0</v>
      </c>
      <c r="U22" s="31">
        <f t="shared" si="9"/>
        <v>68.94283018</v>
      </c>
      <c r="V22" s="26">
        <v>105405.0</v>
      </c>
      <c r="W22" s="31">
        <f t="shared" si="10"/>
        <v>5.581372444</v>
      </c>
      <c r="X22" s="26">
        <v>107980.0</v>
      </c>
      <c r="Y22" s="31">
        <f t="shared" si="11"/>
        <v>5.717723035</v>
      </c>
      <c r="Z22" s="26">
        <v>286686.0</v>
      </c>
      <c r="AA22" s="31">
        <f t="shared" si="12"/>
        <v>15.180507</v>
      </c>
      <c r="AB22" s="26">
        <v>257381.0</v>
      </c>
      <c r="AC22" s="31">
        <f t="shared" si="13"/>
        <v>13.62875785</v>
      </c>
      <c r="AD22" s="26">
        <v>78732.0</v>
      </c>
      <c r="AE22" s="31">
        <f t="shared" si="14"/>
        <v>4.168992128</v>
      </c>
      <c r="AI22" s="34"/>
      <c r="AK22" s="73"/>
    </row>
    <row r="23" ht="15.75" customHeight="1">
      <c r="A23" s="25" t="s">
        <v>60</v>
      </c>
      <c r="B23" s="26">
        <v>2085999.0</v>
      </c>
      <c r="C23" s="26">
        <v>1265892.3317699984</v>
      </c>
      <c r="D23" s="31">
        <f t="shared" si="1"/>
        <v>60.68518402</v>
      </c>
      <c r="E23" s="26">
        <v>879418.5258000002</v>
      </c>
      <c r="F23" s="31">
        <f t="shared" si="2"/>
        <v>42.15814705</v>
      </c>
      <c r="G23" s="26">
        <v>20226.320010000003</v>
      </c>
      <c r="H23" s="31">
        <f t="shared" si="3"/>
        <v>0.9696227088</v>
      </c>
      <c r="I23" s="26">
        <v>62461.874729999996</v>
      </c>
      <c r="J23" s="31">
        <f t="shared" si="4"/>
        <v>2.994338671</v>
      </c>
      <c r="K23" s="26">
        <v>203338.59028000003</v>
      </c>
      <c r="L23" s="31">
        <f t="shared" si="5"/>
        <v>9.747779854</v>
      </c>
      <c r="M23" s="26">
        <v>498585.23761999974</v>
      </c>
      <c r="N23" s="31">
        <f t="shared" si="6"/>
        <v>23.90150895</v>
      </c>
      <c r="O23" s="26">
        <v>45636.073249999994</v>
      </c>
      <c r="P23" s="31">
        <f t="shared" si="7"/>
        <v>2.187732269</v>
      </c>
      <c r="Q23" s="26">
        <v>1910861.0</v>
      </c>
      <c r="R23" s="26">
        <v>1156385.0</v>
      </c>
      <c r="S23" s="31">
        <f t="shared" si="8"/>
        <v>60.51643735</v>
      </c>
      <c r="T23" s="26">
        <v>1671980.0</v>
      </c>
      <c r="U23" s="31">
        <f t="shared" si="9"/>
        <v>87.49877673</v>
      </c>
      <c r="V23" s="26">
        <v>431491.0</v>
      </c>
      <c r="W23" s="31">
        <f t="shared" si="10"/>
        <v>22.58097266</v>
      </c>
      <c r="X23" s="26">
        <v>333742.0</v>
      </c>
      <c r="Y23" s="31">
        <f t="shared" si="11"/>
        <v>17.46552994</v>
      </c>
      <c r="Z23" s="26">
        <v>473335.0</v>
      </c>
      <c r="AA23" s="31">
        <f t="shared" si="12"/>
        <v>24.77077087</v>
      </c>
      <c r="AB23" s="26">
        <v>490711.0</v>
      </c>
      <c r="AC23" s="31">
        <f t="shared" si="13"/>
        <v>25.68009918</v>
      </c>
      <c r="AD23" s="26">
        <v>12993.0</v>
      </c>
      <c r="AE23" s="31">
        <f t="shared" si="14"/>
        <v>0.6799552662</v>
      </c>
      <c r="AI23" s="34"/>
      <c r="AK23" s="73"/>
    </row>
    <row r="24" ht="15.75" customHeight="1">
      <c r="A24" s="25" t="s">
        <v>63</v>
      </c>
      <c r="B24" s="26">
        <v>2054134.0</v>
      </c>
      <c r="C24" s="26">
        <v>1121020.0588999991</v>
      </c>
      <c r="D24" s="31">
        <f t="shared" si="1"/>
        <v>54.57385248</v>
      </c>
      <c r="E24" s="26">
        <v>706187.7381499998</v>
      </c>
      <c r="F24" s="31">
        <f t="shared" si="2"/>
        <v>34.37885445</v>
      </c>
      <c r="G24" s="26">
        <v>87554.93166999999</v>
      </c>
      <c r="H24" s="31">
        <f t="shared" si="3"/>
        <v>4.26237683</v>
      </c>
      <c r="I24" s="26">
        <v>10294.6428</v>
      </c>
      <c r="J24" s="31">
        <f t="shared" si="4"/>
        <v>0.5011670514</v>
      </c>
      <c r="K24" s="26">
        <v>59787.385519999996</v>
      </c>
      <c r="L24" s="31">
        <f t="shared" si="5"/>
        <v>2.91058838</v>
      </c>
      <c r="M24" s="26">
        <v>819299.5560299996</v>
      </c>
      <c r="N24" s="31">
        <f t="shared" si="6"/>
        <v>39.88539969</v>
      </c>
      <c r="O24" s="26">
        <v>0.0</v>
      </c>
      <c r="P24" s="31">
        <f t="shared" si="7"/>
        <v>0</v>
      </c>
      <c r="Q24" s="26">
        <v>1551670.0</v>
      </c>
      <c r="R24" s="26">
        <v>926858.0</v>
      </c>
      <c r="S24" s="31">
        <f t="shared" si="8"/>
        <v>59.7329329</v>
      </c>
      <c r="T24" s="26">
        <v>1043911.0</v>
      </c>
      <c r="U24" s="31">
        <f t="shared" si="9"/>
        <v>67.27661165</v>
      </c>
      <c r="V24" s="26">
        <v>111225.0</v>
      </c>
      <c r="W24" s="31">
        <f t="shared" si="10"/>
        <v>7.16808342</v>
      </c>
      <c r="X24" s="26">
        <v>119599.0</v>
      </c>
      <c r="Y24" s="31">
        <f t="shared" si="11"/>
        <v>7.707760026</v>
      </c>
      <c r="Z24" s="26">
        <v>347457.0</v>
      </c>
      <c r="AA24" s="31">
        <f t="shared" si="12"/>
        <v>22.39245458</v>
      </c>
      <c r="AB24" s="26">
        <v>357485.0</v>
      </c>
      <c r="AC24" s="31">
        <f t="shared" si="13"/>
        <v>23.03872602</v>
      </c>
      <c r="AD24" s="26">
        <v>56049.0</v>
      </c>
      <c r="AE24" s="31">
        <f t="shared" si="14"/>
        <v>3.612172691</v>
      </c>
      <c r="AI24" s="34"/>
      <c r="AK24" s="73"/>
    </row>
    <row r="25" ht="15.75" customHeight="1">
      <c r="A25" s="25" t="s">
        <v>64</v>
      </c>
      <c r="B25" s="26">
        <v>1089866.0</v>
      </c>
      <c r="C25" s="26">
        <v>759211.5808200003</v>
      </c>
      <c r="D25" s="31">
        <f t="shared" si="1"/>
        <v>69.66100244</v>
      </c>
      <c r="E25" s="26">
        <v>395459.4217499998</v>
      </c>
      <c r="F25" s="31">
        <f t="shared" si="2"/>
        <v>36.28514164</v>
      </c>
      <c r="G25" s="26">
        <v>27332.412390000005</v>
      </c>
      <c r="H25" s="31">
        <f t="shared" si="3"/>
        <v>2.507869077</v>
      </c>
      <c r="I25" s="26">
        <v>22546.053130000008</v>
      </c>
      <c r="J25" s="31">
        <f t="shared" si="4"/>
        <v>2.068699558</v>
      </c>
      <c r="K25" s="26">
        <v>9644.57492</v>
      </c>
      <c r="L25" s="31">
        <f t="shared" si="5"/>
        <v>0.884932177</v>
      </c>
      <c r="M25" s="26">
        <v>330663.25191999995</v>
      </c>
      <c r="N25" s="31">
        <f t="shared" si="6"/>
        <v>30.33980801</v>
      </c>
      <c r="O25" s="26">
        <v>968.72745</v>
      </c>
      <c r="P25" s="31">
        <f t="shared" si="7"/>
        <v>0.08888500513</v>
      </c>
      <c r="Q25" s="26">
        <v>1030030.0</v>
      </c>
      <c r="R25" s="26">
        <v>700094.0</v>
      </c>
      <c r="S25" s="31">
        <f t="shared" si="8"/>
        <v>67.9683116</v>
      </c>
      <c r="T25" s="26">
        <v>680787.0</v>
      </c>
      <c r="U25" s="31">
        <f t="shared" si="9"/>
        <v>66.09390018</v>
      </c>
      <c r="V25" s="26">
        <v>134306.0</v>
      </c>
      <c r="W25" s="31">
        <f t="shared" si="10"/>
        <v>13.0390377</v>
      </c>
      <c r="X25" s="26">
        <v>101622.0</v>
      </c>
      <c r="Y25" s="31">
        <f t="shared" si="11"/>
        <v>9.865926235</v>
      </c>
      <c r="Z25" s="26">
        <v>218500.0</v>
      </c>
      <c r="AA25" s="31">
        <f t="shared" si="12"/>
        <v>21.21297438</v>
      </c>
      <c r="AB25" s="26">
        <v>222426.0</v>
      </c>
      <c r="AC25" s="31">
        <f t="shared" si="13"/>
        <v>21.59412833</v>
      </c>
      <c r="AD25" s="26">
        <v>71050.0</v>
      </c>
      <c r="AE25" s="31">
        <f t="shared" si="14"/>
        <v>6.897857344</v>
      </c>
      <c r="AI25" s="34"/>
      <c r="AK25" s="73"/>
    </row>
    <row r="26" ht="15.75" customHeight="1">
      <c r="A26" s="25" t="s">
        <v>65</v>
      </c>
      <c r="B26" s="26">
        <v>984242.0</v>
      </c>
      <c r="C26" s="26">
        <v>710779.5379620002</v>
      </c>
      <c r="D26" s="31">
        <f t="shared" si="1"/>
        <v>72.21593246</v>
      </c>
      <c r="E26" s="26">
        <v>146035.16522000002</v>
      </c>
      <c r="F26" s="31">
        <f t="shared" si="2"/>
        <v>14.83732306</v>
      </c>
      <c r="G26" s="26">
        <v>4337.02928</v>
      </c>
      <c r="H26" s="31">
        <f t="shared" si="3"/>
        <v>0.4406466377</v>
      </c>
      <c r="I26" s="26">
        <v>7492.501799999999</v>
      </c>
      <c r="J26" s="31">
        <f t="shared" si="4"/>
        <v>0.7612458928</v>
      </c>
      <c r="K26" s="26">
        <v>7381.92137</v>
      </c>
      <c r="L26" s="31">
        <f t="shared" si="5"/>
        <v>0.7500108073</v>
      </c>
      <c r="M26" s="26">
        <v>352553.79257800017</v>
      </c>
      <c r="N26" s="31">
        <f t="shared" si="6"/>
        <v>35.81982811</v>
      </c>
      <c r="O26" s="26">
        <v>3468.57326</v>
      </c>
      <c r="P26" s="31">
        <f t="shared" si="7"/>
        <v>0.3524106124</v>
      </c>
      <c r="Q26" s="26">
        <v>1314729.0</v>
      </c>
      <c r="R26" s="26">
        <v>967486.0</v>
      </c>
      <c r="S26" s="31">
        <f t="shared" si="8"/>
        <v>73.58824518</v>
      </c>
      <c r="T26" s="26">
        <v>891739.0</v>
      </c>
      <c r="U26" s="31">
        <f t="shared" si="9"/>
        <v>67.82682971</v>
      </c>
      <c r="V26" s="26">
        <v>89131.0</v>
      </c>
      <c r="W26" s="31">
        <f t="shared" si="10"/>
        <v>6.779419941</v>
      </c>
      <c r="X26" s="26">
        <v>121916.0</v>
      </c>
      <c r="Y26" s="31">
        <f t="shared" si="11"/>
        <v>9.273089739</v>
      </c>
      <c r="Z26" s="26">
        <v>259697.0</v>
      </c>
      <c r="AA26" s="31">
        <f t="shared" si="12"/>
        <v>19.75289204</v>
      </c>
      <c r="AB26" s="26">
        <v>283908.0</v>
      </c>
      <c r="AC26" s="31">
        <f t="shared" si="13"/>
        <v>21.59441223</v>
      </c>
      <c r="AD26" s="26">
        <v>15708.0</v>
      </c>
      <c r="AE26" s="31">
        <f t="shared" si="14"/>
        <v>1.194770938</v>
      </c>
      <c r="AI26" s="34"/>
      <c r="AK26" s="73"/>
    </row>
    <row r="27" ht="15.75" customHeight="1">
      <c r="A27" s="28"/>
      <c r="B27" s="28"/>
      <c r="C27" s="28"/>
      <c r="D27" s="28"/>
      <c r="E27" s="28"/>
      <c r="F27" s="28"/>
      <c r="G27" s="28"/>
      <c r="H27" s="28"/>
      <c r="I27" s="28"/>
      <c r="J27" s="28"/>
      <c r="K27" s="28"/>
      <c r="L27" s="28"/>
      <c r="M27" s="28"/>
      <c r="N27" s="28"/>
      <c r="O27" s="28"/>
      <c r="P27" s="28"/>
      <c r="Q27" s="28"/>
      <c r="R27" s="28"/>
      <c r="S27" s="28"/>
      <c r="T27" s="28"/>
      <c r="U27" s="28"/>
      <c r="V27" s="28"/>
      <c r="W27" s="28"/>
      <c r="X27" s="28"/>
      <c r="Y27" s="28"/>
      <c r="Z27" s="28"/>
      <c r="AA27" s="28"/>
      <c r="AB27" s="28"/>
      <c r="AC27" s="28"/>
      <c r="AD27" s="28"/>
      <c r="AE27" s="28"/>
    </row>
    <row r="28" ht="15.75" customHeight="1">
      <c r="A28" s="9"/>
      <c r="B28" s="9"/>
      <c r="C28" s="9"/>
      <c r="D28" s="9"/>
      <c r="E28" s="9"/>
      <c r="F28" s="9"/>
      <c r="G28" s="9"/>
      <c r="H28" s="9"/>
      <c r="I28" s="9"/>
      <c r="J28" s="9"/>
      <c r="K28" s="9"/>
      <c r="L28" s="9"/>
      <c r="M28" s="9"/>
      <c r="N28" s="9"/>
      <c r="O28" s="9"/>
      <c r="P28" s="9"/>
      <c r="Q28" s="9"/>
      <c r="R28" s="9"/>
      <c r="S28" s="9"/>
      <c r="T28" s="9"/>
      <c r="U28" s="9"/>
      <c r="V28" s="9"/>
      <c r="W28" s="9"/>
      <c r="X28" s="9"/>
      <c r="Y28" s="9"/>
      <c r="Z28" s="9"/>
      <c r="AA28" s="9"/>
      <c r="AB28" s="9"/>
      <c r="AC28" s="9"/>
      <c r="AD28" s="9"/>
      <c r="AE28" s="9"/>
    </row>
    <row r="29" ht="15.75" customHeight="1">
      <c r="A29" s="29" t="s">
        <v>69</v>
      </c>
      <c r="B29" s="29"/>
      <c r="C29" s="29"/>
      <c r="D29" s="29"/>
      <c r="E29" s="29"/>
      <c r="F29" s="29"/>
      <c r="G29" s="29"/>
      <c r="H29" s="29"/>
      <c r="I29" s="29"/>
      <c r="J29" s="29"/>
      <c r="K29" s="29"/>
      <c r="L29" s="29"/>
      <c r="M29" s="29"/>
      <c r="N29" s="29"/>
      <c r="O29" s="29"/>
      <c r="P29" s="29"/>
      <c r="Q29" s="29"/>
      <c r="R29" s="29"/>
      <c r="S29" s="29"/>
      <c r="T29" s="29"/>
      <c r="U29" s="29"/>
      <c r="V29" s="29"/>
      <c r="W29" s="29"/>
      <c r="X29" s="29"/>
      <c r="Y29" s="29"/>
      <c r="Z29" s="29"/>
      <c r="AA29" s="29"/>
      <c r="AB29" s="29"/>
      <c r="AC29" s="29"/>
      <c r="AD29" s="29"/>
      <c r="AE29" s="29"/>
    </row>
    <row r="30" ht="15.75" customHeight="1">
      <c r="A30" s="29" t="s">
        <v>72</v>
      </c>
      <c r="B30" s="29"/>
      <c r="C30" s="29"/>
      <c r="D30" s="29"/>
      <c r="E30" s="29"/>
      <c r="F30" s="29"/>
      <c r="G30" s="29"/>
      <c r="H30" s="29"/>
      <c r="I30" s="29"/>
      <c r="J30" s="29"/>
      <c r="K30" s="29"/>
      <c r="L30" s="29"/>
      <c r="M30" s="29"/>
      <c r="N30" s="29"/>
      <c r="O30" s="29"/>
      <c r="P30" s="29"/>
      <c r="Q30" s="29"/>
      <c r="R30" s="29"/>
      <c r="S30" s="29"/>
      <c r="T30" s="29"/>
      <c r="U30" s="29"/>
      <c r="V30" s="29"/>
      <c r="W30" s="29"/>
      <c r="X30" s="29"/>
      <c r="Y30" s="29"/>
      <c r="Z30" s="29"/>
      <c r="AA30" s="29"/>
      <c r="AB30" s="29"/>
      <c r="AC30" s="29"/>
      <c r="AD30" s="29"/>
      <c r="AE30" s="29"/>
    </row>
    <row r="31" ht="15.75" customHeight="1">
      <c r="A31" s="29" t="s">
        <v>462</v>
      </c>
      <c r="B31" s="29"/>
      <c r="C31" s="29"/>
      <c r="D31" s="29"/>
      <c r="E31" s="29"/>
      <c r="F31" s="29"/>
      <c r="G31" s="29"/>
      <c r="H31" s="29"/>
      <c r="I31" s="29"/>
      <c r="J31" s="29"/>
      <c r="K31" s="29"/>
      <c r="L31" s="29"/>
      <c r="M31" s="29"/>
      <c r="N31" s="29"/>
      <c r="O31" s="29"/>
      <c r="P31" s="29"/>
      <c r="Q31" s="29"/>
      <c r="R31" s="29"/>
      <c r="S31" s="29"/>
      <c r="T31" s="29"/>
      <c r="U31" s="29"/>
      <c r="V31" s="29"/>
      <c r="W31" s="29"/>
      <c r="X31" s="29"/>
      <c r="Y31" s="29"/>
      <c r="Z31" s="29"/>
      <c r="AA31" s="29"/>
      <c r="AB31" s="29"/>
      <c r="AC31" s="29"/>
      <c r="AD31" s="29"/>
      <c r="AE31" s="29"/>
    </row>
    <row r="32" ht="15.75" customHeight="1">
      <c r="A32" s="32" t="s">
        <v>76</v>
      </c>
    </row>
    <row r="33" ht="15.75" customHeight="1">
      <c r="A33" s="32"/>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3">
    <mergeCell ref="O6:P6"/>
    <mergeCell ref="R6:S6"/>
    <mergeCell ref="A4:A7"/>
    <mergeCell ref="B4:P4"/>
    <mergeCell ref="Q4:AE4"/>
    <mergeCell ref="B5:B7"/>
    <mergeCell ref="C5:P5"/>
    <mergeCell ref="Q5:Q7"/>
    <mergeCell ref="R5:AE5"/>
    <mergeCell ref="C6:D6"/>
    <mergeCell ref="E6:F6"/>
    <mergeCell ref="G6:H6"/>
    <mergeCell ref="I6:J6"/>
    <mergeCell ref="K6:L6"/>
    <mergeCell ref="M6:N6"/>
    <mergeCell ref="T6:U6"/>
    <mergeCell ref="V6:W6"/>
    <mergeCell ref="X6:Y6"/>
    <mergeCell ref="Z6:AA6"/>
    <mergeCell ref="AB6:AC6"/>
    <mergeCell ref="AD6:AE6"/>
    <mergeCell ref="A32:AE32"/>
    <mergeCell ref="A33:AE33"/>
  </mergeCells>
  <hyperlinks>
    <hyperlink display="BACK TO LIST" location="LIST!A1" ref="A1"/>
  </hyperlinks>
  <printOptions/>
  <pageMargins bottom="0.75" footer="0.0" header="0.0" left="0.7" right="0.7" top="0.75"/>
  <pageSetup paperSize="9" scale="63" orientation="portrait"/>
  <drawing r:id="rId1"/>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9"/>
    <pageSetUpPr/>
  </sheetPr>
  <sheetViews>
    <sheetView workbookViewId="0"/>
  </sheetViews>
  <sheetFormatPr customHeight="1" defaultColWidth="12.63" defaultRowHeight="15.0"/>
  <cols>
    <col customWidth="1" min="1" max="1" width="39.0"/>
    <col customWidth="1" min="2" max="9" width="14.0"/>
    <col customWidth="1" min="10" max="26" width="8.63"/>
  </cols>
  <sheetData>
    <row r="1">
      <c r="A1" s="5" t="s">
        <v>1</v>
      </c>
      <c r="B1" s="5"/>
      <c r="C1" s="5"/>
      <c r="D1" s="5"/>
    </row>
    <row r="2" ht="15.0" customHeight="1">
      <c r="A2" s="33" t="s">
        <v>458</v>
      </c>
      <c r="B2" s="33"/>
      <c r="C2" s="33"/>
      <c r="D2" s="33"/>
      <c r="E2" s="53"/>
      <c r="F2" s="53"/>
      <c r="G2" s="53"/>
      <c r="H2" s="53"/>
      <c r="I2" s="53"/>
    </row>
    <row r="3">
      <c r="A3" s="8"/>
      <c r="B3" s="8"/>
      <c r="C3" s="8"/>
      <c r="D3" s="8"/>
      <c r="E3" s="9"/>
      <c r="F3" s="9"/>
      <c r="G3" s="9"/>
      <c r="H3" s="9"/>
      <c r="I3" s="9"/>
    </row>
    <row r="4">
      <c r="A4" s="10" t="s">
        <v>13</v>
      </c>
      <c r="B4" s="42">
        <v>2019.0</v>
      </c>
      <c r="C4" s="14"/>
      <c r="D4" s="15"/>
      <c r="E4" s="42">
        <v>2024.0</v>
      </c>
      <c r="F4" s="14"/>
      <c r="G4" s="14"/>
      <c r="H4" s="14"/>
      <c r="I4" s="15"/>
    </row>
    <row r="5" ht="45.0" customHeight="1">
      <c r="A5" s="17"/>
      <c r="B5" s="21" t="s">
        <v>459</v>
      </c>
      <c r="C5" s="13" t="s">
        <v>460</v>
      </c>
      <c r="D5" s="15"/>
      <c r="E5" s="21" t="s">
        <v>143</v>
      </c>
      <c r="F5" s="13" t="s">
        <v>461</v>
      </c>
      <c r="G5" s="15"/>
      <c r="H5" s="13" t="s">
        <v>460</v>
      </c>
      <c r="I5" s="15"/>
    </row>
    <row r="6" ht="30.0" customHeight="1">
      <c r="A6" s="18"/>
      <c r="B6" s="18"/>
      <c r="C6" s="24" t="s">
        <v>37</v>
      </c>
      <c r="D6" s="24" t="s">
        <v>39</v>
      </c>
      <c r="E6" s="18"/>
      <c r="F6" s="24" t="s">
        <v>37</v>
      </c>
      <c r="G6" s="24" t="s">
        <v>39</v>
      </c>
      <c r="H6" s="24" t="s">
        <v>37</v>
      </c>
      <c r="I6" s="24" t="s">
        <v>39</v>
      </c>
    </row>
    <row r="7">
      <c r="A7" s="16"/>
      <c r="B7" s="16"/>
      <c r="C7" s="16"/>
      <c r="D7" s="16"/>
      <c r="E7" s="20"/>
      <c r="F7" s="20"/>
      <c r="G7" s="20"/>
      <c r="H7" s="20"/>
      <c r="I7" s="20"/>
    </row>
    <row r="8">
      <c r="A8" s="22" t="s">
        <v>33</v>
      </c>
      <c r="B8" s="23">
        <v>2.1118015227792002E7</v>
      </c>
      <c r="C8" s="23">
        <v>4070547.486665</v>
      </c>
      <c r="D8" s="27">
        <f t="shared" ref="D8:D25" si="1">(C8/$B8)*100</f>
        <v>19.27523701</v>
      </c>
      <c r="E8" s="23">
        <v>9.1383228E7</v>
      </c>
      <c r="F8" s="23">
        <v>3.5172625E7</v>
      </c>
      <c r="G8" s="27">
        <f t="shared" ref="G8:G25" si="2">(F8/$E8)*100</f>
        <v>38.48914705</v>
      </c>
      <c r="H8" s="23">
        <v>8661536.0</v>
      </c>
      <c r="I8" s="27">
        <f t="shared" ref="I8:I25" si="3">(H8/F8)*100</f>
        <v>24.62578781</v>
      </c>
      <c r="M8" s="34"/>
      <c r="O8" s="73"/>
    </row>
    <row r="9">
      <c r="A9" s="25" t="s">
        <v>38</v>
      </c>
      <c r="B9" s="26">
        <v>4434947.683279998</v>
      </c>
      <c r="C9" s="26">
        <v>885655.6996599996</v>
      </c>
      <c r="D9" s="31">
        <f t="shared" si="1"/>
        <v>19.9699244</v>
      </c>
      <c r="E9" s="26">
        <v>1.1919468E7</v>
      </c>
      <c r="F9" s="26">
        <v>7090188.0</v>
      </c>
      <c r="G9" s="31">
        <f t="shared" si="2"/>
        <v>59.48409778</v>
      </c>
      <c r="H9" s="26">
        <v>1808842.0</v>
      </c>
      <c r="I9" s="31">
        <f t="shared" si="3"/>
        <v>25.51190462</v>
      </c>
      <c r="M9" s="34"/>
      <c r="O9" s="73"/>
    </row>
    <row r="10">
      <c r="A10" s="25" t="s">
        <v>41</v>
      </c>
      <c r="B10" s="26">
        <v>322391.19261700066</v>
      </c>
      <c r="C10" s="26">
        <v>82512.80083400004</v>
      </c>
      <c r="D10" s="31">
        <f t="shared" si="1"/>
        <v>25.59399969</v>
      </c>
      <c r="E10" s="26">
        <v>1496049.0</v>
      </c>
      <c r="F10" s="26">
        <v>657507.0</v>
      </c>
      <c r="G10" s="31">
        <f t="shared" si="2"/>
        <v>43.94956315</v>
      </c>
      <c r="H10" s="26">
        <v>153829.0</v>
      </c>
      <c r="I10" s="31">
        <f t="shared" si="3"/>
        <v>23.39579655</v>
      </c>
      <c r="M10" s="34"/>
      <c r="O10" s="73"/>
    </row>
    <row r="11">
      <c r="A11" s="25" t="s">
        <v>43</v>
      </c>
      <c r="B11" s="26">
        <v>1269147.599349999</v>
      </c>
      <c r="C11" s="26">
        <v>143470.98770000006</v>
      </c>
      <c r="D11" s="31">
        <f t="shared" si="1"/>
        <v>11.30451555</v>
      </c>
      <c r="E11" s="26">
        <v>4389510.0</v>
      </c>
      <c r="F11" s="26">
        <v>1455801.0</v>
      </c>
      <c r="G11" s="31">
        <f t="shared" si="2"/>
        <v>33.16545583</v>
      </c>
      <c r="H11" s="26">
        <v>363544.0</v>
      </c>
      <c r="I11" s="31">
        <f t="shared" si="3"/>
        <v>24.9720944</v>
      </c>
      <c r="M11" s="34"/>
      <c r="O11" s="73"/>
    </row>
    <row r="12">
      <c r="A12" s="25" t="s">
        <v>44</v>
      </c>
      <c r="B12" s="26">
        <v>608713.3621390008</v>
      </c>
      <c r="C12" s="26">
        <v>123453.90383700003</v>
      </c>
      <c r="D12" s="31">
        <f t="shared" si="1"/>
        <v>20.2811227</v>
      </c>
      <c r="E12" s="26">
        <v>3055894.0</v>
      </c>
      <c r="F12" s="26">
        <v>1292729.0</v>
      </c>
      <c r="G12" s="31">
        <f t="shared" si="2"/>
        <v>42.30280893</v>
      </c>
      <c r="H12" s="26">
        <v>349045.0</v>
      </c>
      <c r="I12" s="31">
        <f t="shared" si="3"/>
        <v>27.000632</v>
      </c>
      <c r="M12" s="34"/>
      <c r="O12" s="73"/>
    </row>
    <row r="13">
      <c r="A13" s="25" t="s">
        <v>46</v>
      </c>
      <c r="B13" s="26">
        <v>3210821.0527700037</v>
      </c>
      <c r="C13" s="26">
        <v>481285.6212300004</v>
      </c>
      <c r="D13" s="31">
        <f t="shared" si="1"/>
        <v>14.98948753</v>
      </c>
      <c r="E13" s="26">
        <v>1.070829E7</v>
      </c>
      <c r="F13" s="26">
        <v>4074004.0</v>
      </c>
      <c r="G13" s="31">
        <f t="shared" si="2"/>
        <v>38.0453275</v>
      </c>
      <c r="H13" s="26">
        <v>1070586.0</v>
      </c>
      <c r="I13" s="31">
        <f t="shared" si="3"/>
        <v>26.27847199</v>
      </c>
      <c r="M13" s="34"/>
      <c r="O13" s="73"/>
    </row>
    <row r="14">
      <c r="A14" s="25" t="s">
        <v>48</v>
      </c>
      <c r="B14" s="26">
        <v>4117581.2881100015</v>
      </c>
      <c r="C14" s="26">
        <v>1301457.76672</v>
      </c>
      <c r="D14" s="31">
        <f t="shared" si="1"/>
        <v>31.60733634</v>
      </c>
      <c r="E14" s="26">
        <v>1.3985526E7</v>
      </c>
      <c r="F14" s="26">
        <v>5232812.0</v>
      </c>
      <c r="G14" s="31">
        <f t="shared" si="2"/>
        <v>37.41591128</v>
      </c>
      <c r="H14" s="26">
        <v>1412941.0</v>
      </c>
      <c r="I14" s="31">
        <f t="shared" si="3"/>
        <v>27.00156245</v>
      </c>
      <c r="M14" s="34"/>
      <c r="O14" s="73"/>
    </row>
    <row r="15">
      <c r="A15" s="25" t="s">
        <v>50</v>
      </c>
      <c r="B15" s="26">
        <v>437023.2581300002</v>
      </c>
      <c r="C15" s="26">
        <v>79700.92789</v>
      </c>
      <c r="D15" s="31">
        <f t="shared" si="1"/>
        <v>18.23722798</v>
      </c>
      <c r="E15" s="26">
        <v>2538126.0</v>
      </c>
      <c r="F15" s="26">
        <v>738374.0</v>
      </c>
      <c r="G15" s="31">
        <f t="shared" si="2"/>
        <v>29.09130595</v>
      </c>
      <c r="H15" s="26">
        <v>199199.0</v>
      </c>
      <c r="I15" s="31">
        <f t="shared" si="3"/>
        <v>26.97806261</v>
      </c>
      <c r="M15" s="34"/>
      <c r="O15" s="73"/>
    </row>
    <row r="16">
      <c r="A16" s="25" t="s">
        <v>51</v>
      </c>
      <c r="B16" s="26">
        <v>795978.5354400002</v>
      </c>
      <c r="C16" s="26">
        <v>162781.29645</v>
      </c>
      <c r="D16" s="31">
        <f t="shared" si="1"/>
        <v>20.45046307</v>
      </c>
      <c r="E16" s="26">
        <v>4884805.0</v>
      </c>
      <c r="F16" s="26">
        <v>1718818.0</v>
      </c>
      <c r="G16" s="31">
        <f t="shared" si="2"/>
        <v>35.18703408</v>
      </c>
      <c r="H16" s="26">
        <v>473624.0</v>
      </c>
      <c r="I16" s="31">
        <f t="shared" si="3"/>
        <v>27.55521527</v>
      </c>
      <c r="M16" s="34"/>
      <c r="O16" s="73"/>
    </row>
    <row r="17">
      <c r="A17" s="25" t="s">
        <v>53</v>
      </c>
      <c r="B17" s="26">
        <v>1148816.0243000009</v>
      </c>
      <c r="C17" s="26">
        <v>259860.5792000002</v>
      </c>
      <c r="D17" s="31">
        <f t="shared" si="1"/>
        <v>22.61986025</v>
      </c>
      <c r="E17" s="26">
        <v>6586874.0</v>
      </c>
      <c r="F17" s="26">
        <v>2367501.0</v>
      </c>
      <c r="G17" s="31">
        <f t="shared" si="2"/>
        <v>35.9427097</v>
      </c>
      <c r="H17" s="26">
        <v>538039.0</v>
      </c>
      <c r="I17" s="31">
        <f t="shared" si="3"/>
        <v>22.72603053</v>
      </c>
      <c r="M17" s="34"/>
      <c r="O17" s="73"/>
    </row>
    <row r="18">
      <c r="A18" s="25" t="s">
        <v>54</v>
      </c>
      <c r="B18" s="26">
        <v>847079.1793600003</v>
      </c>
      <c r="C18" s="26">
        <v>118572.88934000008</v>
      </c>
      <c r="D18" s="31">
        <f t="shared" si="1"/>
        <v>13.99785194</v>
      </c>
      <c r="E18" s="26">
        <v>6668940.0</v>
      </c>
      <c r="F18" s="26">
        <v>3033908.0</v>
      </c>
      <c r="G18" s="31">
        <f t="shared" si="2"/>
        <v>45.49310685</v>
      </c>
      <c r="H18" s="26">
        <v>742470.0</v>
      </c>
      <c r="I18" s="31">
        <f t="shared" si="3"/>
        <v>24.47239666</v>
      </c>
      <c r="M18" s="34"/>
      <c r="O18" s="73"/>
    </row>
    <row r="19">
      <c r="A19" s="25" t="s">
        <v>56</v>
      </c>
      <c r="B19" s="26">
        <v>1032784.6752500004</v>
      </c>
      <c r="C19" s="26">
        <v>108915.04174600009</v>
      </c>
      <c r="D19" s="31">
        <f t="shared" si="1"/>
        <v>10.5457647</v>
      </c>
      <c r="E19" s="26">
        <v>3864215.0</v>
      </c>
      <c r="F19" s="26">
        <v>1261047.0</v>
      </c>
      <c r="G19" s="31">
        <f t="shared" si="2"/>
        <v>32.63397611</v>
      </c>
      <c r="H19" s="26">
        <v>306301.0</v>
      </c>
      <c r="I19" s="31">
        <f t="shared" si="3"/>
        <v>24.28941982</v>
      </c>
      <c r="M19" s="34"/>
      <c r="O19" s="73"/>
    </row>
    <row r="20">
      <c r="A20" s="25" t="s">
        <v>57</v>
      </c>
      <c r="B20" s="26">
        <v>468435.53889999975</v>
      </c>
      <c r="C20" s="26">
        <v>41192.42498999998</v>
      </c>
      <c r="D20" s="31">
        <f t="shared" si="1"/>
        <v>8.793616532</v>
      </c>
      <c r="E20" s="26">
        <v>3062611.0</v>
      </c>
      <c r="F20" s="26">
        <v>668853.0</v>
      </c>
      <c r="G20" s="31">
        <f t="shared" si="2"/>
        <v>21.8393064</v>
      </c>
      <c r="H20" s="26">
        <v>55293.0</v>
      </c>
      <c r="I20" s="31">
        <f t="shared" si="3"/>
        <v>8.266838902</v>
      </c>
      <c r="M20" s="34"/>
      <c r="O20" s="73"/>
    </row>
    <row r="21" ht="15.75" customHeight="1">
      <c r="A21" s="25" t="s">
        <v>59</v>
      </c>
      <c r="B21" s="26">
        <v>436933.25559</v>
      </c>
      <c r="C21" s="26">
        <v>43233.54448</v>
      </c>
      <c r="D21" s="31">
        <f t="shared" si="1"/>
        <v>9.894770866</v>
      </c>
      <c r="E21" s="26">
        <v>4175626.0</v>
      </c>
      <c r="F21" s="26">
        <v>1861305.0</v>
      </c>
      <c r="G21" s="31">
        <f t="shared" si="2"/>
        <v>44.57547204</v>
      </c>
      <c r="H21" s="26">
        <v>345992.0</v>
      </c>
      <c r="I21" s="31">
        <f t="shared" si="3"/>
        <v>18.58867837</v>
      </c>
      <c r="M21" s="34"/>
      <c r="O21" s="73"/>
    </row>
    <row r="22" ht="15.75" customHeight="1">
      <c r="A22" s="25" t="s">
        <v>60</v>
      </c>
      <c r="B22" s="26">
        <v>696681.6874700001</v>
      </c>
      <c r="C22" s="26">
        <v>76727.59409999999</v>
      </c>
      <c r="D22" s="31">
        <f t="shared" si="1"/>
        <v>11.0132928</v>
      </c>
      <c r="E22" s="26">
        <v>4443602.0</v>
      </c>
      <c r="F22" s="26">
        <v>1192107.0</v>
      </c>
      <c r="G22" s="31">
        <f t="shared" si="2"/>
        <v>26.82749265</v>
      </c>
      <c r="H22" s="26">
        <v>235634.0</v>
      </c>
      <c r="I22" s="31">
        <f t="shared" si="3"/>
        <v>19.76617871</v>
      </c>
      <c r="M22" s="34"/>
      <c r="O22" s="73"/>
    </row>
    <row r="23" ht="15.75" customHeight="1">
      <c r="A23" s="25" t="s">
        <v>63</v>
      </c>
      <c r="B23" s="26">
        <v>924109.8131200004</v>
      </c>
      <c r="C23" s="26">
        <v>114196.97564</v>
      </c>
      <c r="D23" s="31">
        <f t="shared" si="1"/>
        <v>12.35751141</v>
      </c>
      <c r="E23" s="26">
        <v>3636167.0</v>
      </c>
      <c r="F23" s="26">
        <v>1190724.0</v>
      </c>
      <c r="G23" s="31">
        <f t="shared" si="2"/>
        <v>32.74668078</v>
      </c>
      <c r="H23" s="26">
        <v>299649.0</v>
      </c>
      <c r="I23" s="31">
        <f t="shared" si="3"/>
        <v>25.1652776</v>
      </c>
      <c r="M23" s="34"/>
      <c r="O23" s="73"/>
    </row>
    <row r="24" ht="15.75" customHeight="1">
      <c r="A24" s="25" t="s">
        <v>64</v>
      </c>
      <c r="B24" s="26">
        <v>235590.0180000001</v>
      </c>
      <c r="C24" s="26">
        <v>36664.18975999999</v>
      </c>
      <c r="D24" s="31">
        <f t="shared" si="1"/>
        <v>15.56270935</v>
      </c>
      <c r="E24" s="26">
        <v>2220907.0</v>
      </c>
      <c r="F24" s="26">
        <v>797854.0</v>
      </c>
      <c r="G24" s="31">
        <f t="shared" si="2"/>
        <v>35.92469203</v>
      </c>
      <c r="H24" s="26">
        <v>213366.0</v>
      </c>
      <c r="I24" s="31">
        <f t="shared" si="3"/>
        <v>26.74248672</v>
      </c>
      <c r="M24" s="34"/>
      <c r="O24" s="73"/>
    </row>
    <row r="25" ht="15.75" customHeight="1">
      <c r="A25" s="25" t="s">
        <v>65</v>
      </c>
      <c r="B25" s="26">
        <v>130981.06396600002</v>
      </c>
      <c r="C25" s="26">
        <v>10865.243088</v>
      </c>
      <c r="D25" s="31">
        <f t="shared" si="1"/>
        <v>8.295277775</v>
      </c>
      <c r="E25" s="26">
        <v>3746618.0</v>
      </c>
      <c r="F25" s="26">
        <v>539093.0</v>
      </c>
      <c r="G25" s="31">
        <f t="shared" si="2"/>
        <v>14.3887901</v>
      </c>
      <c r="H25" s="26">
        <v>93184.0</v>
      </c>
      <c r="I25" s="31">
        <f t="shared" si="3"/>
        <v>17.28532925</v>
      </c>
      <c r="M25" s="34"/>
      <c r="O25" s="73"/>
    </row>
    <row r="26" ht="15.75" customHeight="1">
      <c r="A26" s="28"/>
      <c r="B26" s="28"/>
      <c r="C26" s="28"/>
      <c r="D26" s="28"/>
      <c r="E26" s="28"/>
      <c r="F26" s="28"/>
      <c r="G26" s="28"/>
      <c r="H26" s="28"/>
      <c r="I26" s="28"/>
    </row>
    <row r="27" ht="15.75" customHeight="1">
      <c r="A27" s="9"/>
      <c r="B27" s="9"/>
      <c r="C27" s="9"/>
      <c r="D27" s="9"/>
      <c r="E27" s="9"/>
      <c r="F27" s="9"/>
      <c r="G27" s="9"/>
      <c r="H27" s="9"/>
      <c r="I27" s="9"/>
    </row>
    <row r="28" ht="15.75" customHeight="1">
      <c r="A28" s="29" t="s">
        <v>69</v>
      </c>
      <c r="B28" s="29"/>
      <c r="C28" s="29"/>
      <c r="D28" s="29"/>
      <c r="E28" s="29"/>
      <c r="F28" s="29"/>
      <c r="G28" s="29"/>
      <c r="H28" s="29"/>
      <c r="I28" s="29"/>
    </row>
    <row r="29" ht="15.75" customHeight="1">
      <c r="A29" s="29" t="s">
        <v>72</v>
      </c>
      <c r="B29" s="29"/>
      <c r="C29" s="29"/>
      <c r="D29" s="29"/>
      <c r="E29" s="29"/>
      <c r="F29" s="29"/>
      <c r="G29" s="29"/>
      <c r="H29" s="29"/>
      <c r="I29" s="29"/>
    </row>
    <row r="30" ht="15.75" customHeight="1">
      <c r="A30" s="29" t="s">
        <v>463</v>
      </c>
      <c r="B30" s="29"/>
      <c r="C30" s="29"/>
      <c r="D30" s="29"/>
      <c r="E30" s="29"/>
      <c r="F30" s="29"/>
      <c r="G30" s="29"/>
      <c r="H30" s="29"/>
      <c r="I30" s="29"/>
    </row>
    <row r="31" ht="15.75" customHeight="1">
      <c r="A31" s="32" t="s">
        <v>76</v>
      </c>
    </row>
    <row r="32" ht="15.75" customHeight="1">
      <c r="A32" s="32"/>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
    <mergeCell ref="H5:I5"/>
    <mergeCell ref="A31:I31"/>
    <mergeCell ref="A32:I32"/>
    <mergeCell ref="A4:A6"/>
    <mergeCell ref="B4:D4"/>
    <mergeCell ref="E4:I4"/>
    <mergeCell ref="B5:B6"/>
    <mergeCell ref="C5:D5"/>
    <mergeCell ref="E5:E6"/>
    <mergeCell ref="F5:G5"/>
  </mergeCells>
  <hyperlinks>
    <hyperlink display="BACK TO LIST" location="LIST!A1" ref="A1"/>
  </hyperlinks>
  <printOptions/>
  <pageMargins bottom="0.75" footer="0.0" header="0.0" left="0.7" right="0.7" top="0.75"/>
  <pageSetup paperSize="9" scale="63" orientation="portrait"/>
  <drawing r:id="rId1"/>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9"/>
    <pageSetUpPr/>
  </sheetPr>
  <sheetViews>
    <sheetView workbookViewId="0"/>
  </sheetViews>
  <sheetFormatPr customHeight="1" defaultColWidth="12.63" defaultRowHeight="15.0"/>
  <cols>
    <col customWidth="1" min="1" max="1" width="39.0"/>
    <col customWidth="1" min="2" max="2" width="19.75"/>
    <col customWidth="1" min="3" max="36" width="13.75"/>
  </cols>
  <sheetData>
    <row r="1">
      <c r="A1" s="5" t="s">
        <v>1</v>
      </c>
    </row>
    <row r="2" ht="15.0" customHeight="1">
      <c r="A2" s="33" t="s">
        <v>464</v>
      </c>
      <c r="B2" s="53"/>
      <c r="C2" s="53"/>
      <c r="D2" s="53"/>
      <c r="E2" s="53"/>
      <c r="F2" s="53"/>
    </row>
    <row r="3">
      <c r="A3" s="8"/>
      <c r="B3" s="9"/>
      <c r="C3" s="9"/>
      <c r="D3" s="9"/>
      <c r="E3" s="9"/>
      <c r="F3" s="9"/>
    </row>
    <row r="4">
      <c r="A4" s="10" t="s">
        <v>13</v>
      </c>
      <c r="B4" s="42">
        <v>2019.0</v>
      </c>
      <c r="C4" s="14"/>
      <c r="D4" s="14"/>
      <c r="E4" s="14"/>
      <c r="F4" s="14"/>
      <c r="G4" s="14"/>
      <c r="H4" s="14"/>
      <c r="I4" s="14"/>
      <c r="J4" s="14"/>
      <c r="K4" s="14"/>
      <c r="L4" s="14"/>
      <c r="M4" s="14"/>
      <c r="N4" s="14"/>
      <c r="O4" s="14"/>
      <c r="P4" s="14"/>
      <c r="Q4" s="14"/>
      <c r="R4" s="14"/>
      <c r="S4" s="14"/>
      <c r="T4" s="14"/>
      <c r="U4" s="14"/>
      <c r="V4" s="14"/>
      <c r="W4" s="14"/>
      <c r="X4" s="14"/>
      <c r="Y4" s="14"/>
      <c r="Z4" s="14"/>
      <c r="AA4" s="14"/>
      <c r="AB4" s="14"/>
      <c r="AC4" s="14"/>
      <c r="AD4" s="14"/>
      <c r="AE4" s="14"/>
      <c r="AF4" s="14"/>
      <c r="AG4" s="14"/>
      <c r="AH4" s="14"/>
      <c r="AI4" s="14"/>
      <c r="AJ4" s="15"/>
    </row>
    <row r="5">
      <c r="A5" s="17"/>
      <c r="B5" s="21" t="s">
        <v>465</v>
      </c>
      <c r="C5" s="42" t="s">
        <v>466</v>
      </c>
      <c r="D5" s="14"/>
      <c r="E5" s="14"/>
      <c r="F5" s="14"/>
      <c r="G5" s="14"/>
      <c r="H5" s="14"/>
      <c r="I5" s="14"/>
      <c r="J5" s="14"/>
      <c r="K5" s="14"/>
      <c r="L5" s="14"/>
      <c r="M5" s="14"/>
      <c r="N5" s="14"/>
      <c r="O5" s="14"/>
      <c r="P5" s="14"/>
      <c r="Q5" s="14"/>
      <c r="R5" s="14"/>
      <c r="S5" s="14"/>
      <c r="T5" s="14"/>
      <c r="U5" s="14"/>
      <c r="V5" s="14"/>
      <c r="W5" s="14"/>
      <c r="X5" s="14"/>
      <c r="Y5" s="14"/>
      <c r="Z5" s="14"/>
      <c r="AA5" s="14"/>
      <c r="AB5" s="14"/>
      <c r="AC5" s="14"/>
      <c r="AD5" s="14"/>
      <c r="AE5" s="14"/>
      <c r="AF5" s="14"/>
      <c r="AG5" s="14"/>
      <c r="AH5" s="14"/>
      <c r="AI5" s="14"/>
      <c r="AJ5" s="15"/>
    </row>
    <row r="6">
      <c r="A6" s="17"/>
      <c r="B6" s="17"/>
      <c r="C6" s="74" t="s">
        <v>467</v>
      </c>
      <c r="D6" s="15"/>
      <c r="E6" s="74" t="s">
        <v>468</v>
      </c>
      <c r="F6" s="15"/>
      <c r="G6" s="74" t="s">
        <v>469</v>
      </c>
      <c r="H6" s="15"/>
      <c r="I6" s="13" t="s">
        <v>470</v>
      </c>
      <c r="J6" s="15"/>
      <c r="K6" s="38" t="s">
        <v>471</v>
      </c>
      <c r="L6" s="15"/>
      <c r="M6" s="38" t="s">
        <v>472</v>
      </c>
      <c r="N6" s="15"/>
      <c r="O6" s="38" t="s">
        <v>473</v>
      </c>
      <c r="P6" s="15"/>
      <c r="Q6" s="38" t="s">
        <v>474</v>
      </c>
      <c r="R6" s="15"/>
      <c r="S6" s="38" t="s">
        <v>475</v>
      </c>
      <c r="T6" s="15"/>
      <c r="U6" s="38" t="s">
        <v>476</v>
      </c>
      <c r="V6" s="15"/>
      <c r="W6" s="38" t="s">
        <v>477</v>
      </c>
      <c r="X6" s="15"/>
      <c r="Y6" s="38" t="s">
        <v>478</v>
      </c>
      <c r="Z6" s="15"/>
      <c r="AA6" s="38" t="s">
        <v>479</v>
      </c>
      <c r="AB6" s="15"/>
      <c r="AC6" s="38" t="s">
        <v>480</v>
      </c>
      <c r="AD6" s="15"/>
      <c r="AE6" s="38" t="s">
        <v>481</v>
      </c>
      <c r="AF6" s="15"/>
      <c r="AG6" s="38" t="s">
        <v>482</v>
      </c>
      <c r="AH6" s="15"/>
      <c r="AI6" s="38" t="s">
        <v>170</v>
      </c>
      <c r="AJ6" s="15"/>
    </row>
    <row r="7">
      <c r="A7" s="18"/>
      <c r="B7" s="18"/>
      <c r="C7" s="24" t="s">
        <v>37</v>
      </c>
      <c r="D7" s="24" t="s">
        <v>39</v>
      </c>
      <c r="E7" s="24" t="s">
        <v>37</v>
      </c>
      <c r="F7" s="24" t="s">
        <v>39</v>
      </c>
      <c r="G7" s="24" t="s">
        <v>37</v>
      </c>
      <c r="H7" s="24" t="s">
        <v>39</v>
      </c>
      <c r="I7" s="24" t="s">
        <v>37</v>
      </c>
      <c r="J7" s="24" t="s">
        <v>39</v>
      </c>
      <c r="K7" s="24" t="s">
        <v>37</v>
      </c>
      <c r="L7" s="24" t="s">
        <v>39</v>
      </c>
      <c r="M7" s="24" t="s">
        <v>37</v>
      </c>
      <c r="N7" s="24" t="s">
        <v>39</v>
      </c>
      <c r="O7" s="24" t="s">
        <v>37</v>
      </c>
      <c r="P7" s="24" t="s">
        <v>39</v>
      </c>
      <c r="Q7" s="24" t="s">
        <v>37</v>
      </c>
      <c r="R7" s="24" t="s">
        <v>39</v>
      </c>
      <c r="S7" s="24" t="s">
        <v>37</v>
      </c>
      <c r="T7" s="24" t="s">
        <v>39</v>
      </c>
      <c r="U7" s="24" t="s">
        <v>37</v>
      </c>
      <c r="V7" s="24" t="s">
        <v>39</v>
      </c>
      <c r="W7" s="24" t="s">
        <v>37</v>
      </c>
      <c r="X7" s="24" t="s">
        <v>39</v>
      </c>
      <c r="Y7" s="24" t="s">
        <v>37</v>
      </c>
      <c r="Z7" s="24" t="s">
        <v>39</v>
      </c>
      <c r="AA7" s="24" t="s">
        <v>37</v>
      </c>
      <c r="AB7" s="24" t="s">
        <v>39</v>
      </c>
      <c r="AC7" s="24" t="s">
        <v>37</v>
      </c>
      <c r="AD7" s="24" t="s">
        <v>39</v>
      </c>
      <c r="AE7" s="24" t="s">
        <v>37</v>
      </c>
      <c r="AF7" s="24" t="s">
        <v>39</v>
      </c>
      <c r="AG7" s="24" t="s">
        <v>37</v>
      </c>
      <c r="AH7" s="24" t="s">
        <v>39</v>
      </c>
      <c r="AI7" s="24" t="s">
        <v>37</v>
      </c>
      <c r="AJ7" s="24" t="s">
        <v>39</v>
      </c>
    </row>
    <row r="8">
      <c r="A8" s="16"/>
      <c r="B8" s="20"/>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row>
    <row r="9">
      <c r="A9" s="22" t="s">
        <v>33</v>
      </c>
      <c r="B9" s="23">
        <v>4070547.486665</v>
      </c>
      <c r="C9" s="23">
        <v>321509.004517</v>
      </c>
      <c r="D9" s="27">
        <f t="shared" ref="D9:D26" si="1">C9/$B9*100</f>
        <v>7.898421664</v>
      </c>
      <c r="E9" s="23">
        <v>1468522.9991970006</v>
      </c>
      <c r="F9" s="27">
        <f t="shared" ref="F9:F26" si="2">E9/$B9*100</f>
        <v>36.07679321</v>
      </c>
      <c r="G9" s="23">
        <v>1962851.034786</v>
      </c>
      <c r="H9" s="27">
        <f t="shared" ref="H9:H26" si="3">G9/$B9*100</f>
        <v>48.2208116</v>
      </c>
      <c r="I9" s="23">
        <v>856694.2182649997</v>
      </c>
      <c r="J9" s="27">
        <f t="shared" ref="J9:J26" si="4">I9/$B9*100</f>
        <v>21.04616691</v>
      </c>
      <c r="K9" s="23">
        <v>923649.6487759997</v>
      </c>
      <c r="L9" s="27">
        <f t="shared" ref="L9:L26" si="5">K9/$B9*100</f>
        <v>22.69104222</v>
      </c>
      <c r="M9" s="23">
        <v>437821.0361200001</v>
      </c>
      <c r="N9" s="27">
        <f t="shared" ref="N9:N26" si="6">M9/$B9*100</f>
        <v>10.75582677</v>
      </c>
      <c r="O9" s="23">
        <v>769944.3206159997</v>
      </c>
      <c r="P9" s="27">
        <f t="shared" ref="P9:P26" si="7">O9/$B9*100</f>
        <v>18.91500647</v>
      </c>
      <c r="Q9" s="23">
        <v>345742.88172900013</v>
      </c>
      <c r="R9" s="27">
        <f t="shared" ref="R9:R26" si="8">Q9/$B9*100</f>
        <v>8.493768538</v>
      </c>
      <c r="S9" s="23">
        <v>739650.3464049998</v>
      </c>
      <c r="T9" s="27">
        <f t="shared" ref="T9:T26" si="9">S9/$B9*100</f>
        <v>18.17078289</v>
      </c>
      <c r="U9" s="23">
        <v>134860.87829899997</v>
      </c>
      <c r="V9" s="27">
        <f t="shared" ref="V9:V26" si="10">U9/$B9*100</f>
        <v>3.313089424</v>
      </c>
      <c r="W9" s="23">
        <v>221910.46041400003</v>
      </c>
      <c r="X9" s="27">
        <f t="shared" ref="X9:X26" si="11">W9/$B9*100</f>
        <v>5.451612127</v>
      </c>
      <c r="Y9" s="23">
        <v>151588.93931699998</v>
      </c>
      <c r="Z9" s="27">
        <f t="shared" ref="Z9:Z26" si="12">Y9/$B9*100</f>
        <v>3.724043014</v>
      </c>
      <c r="AA9" s="23">
        <v>134254.426943</v>
      </c>
      <c r="AB9" s="27">
        <f t="shared" ref="AB9:AB26" si="13">AA9/$B9*100</f>
        <v>3.298190904</v>
      </c>
      <c r="AC9" s="23">
        <v>518905.99762499996</v>
      </c>
      <c r="AD9" s="27">
        <f t="shared" ref="AD9:AD26" si="14">AC9/$B9*100</f>
        <v>12.74781831</v>
      </c>
      <c r="AE9" s="23">
        <v>971154.9919850002</v>
      </c>
      <c r="AF9" s="27">
        <f t="shared" ref="AF9:AF26" si="15">AE9/$B9*100</f>
        <v>23.85809268</v>
      </c>
      <c r="AG9" s="26">
        <v>0.0</v>
      </c>
      <c r="AH9" s="27">
        <f t="shared" ref="AH9:AH26" si="16">AG9/$B9*100</f>
        <v>0</v>
      </c>
      <c r="AI9" s="23">
        <v>78199.96836000001</v>
      </c>
      <c r="AJ9" s="27">
        <f t="shared" ref="AJ9:AJ26" si="17">AI9/$B9*100</f>
        <v>1.92111672</v>
      </c>
    </row>
    <row r="10">
      <c r="A10" s="25" t="s">
        <v>38</v>
      </c>
      <c r="B10" s="26">
        <v>885655.6996599996</v>
      </c>
      <c r="C10" s="26">
        <v>95547.62267000001</v>
      </c>
      <c r="D10" s="31">
        <f t="shared" si="1"/>
        <v>10.78834842</v>
      </c>
      <c r="E10" s="26">
        <v>485221.93796000036</v>
      </c>
      <c r="F10" s="31">
        <f t="shared" si="2"/>
        <v>54.78674593</v>
      </c>
      <c r="G10" s="26">
        <v>513446.38367000024</v>
      </c>
      <c r="H10" s="31">
        <f t="shared" si="3"/>
        <v>57.97358769</v>
      </c>
      <c r="I10" s="26">
        <v>64588.61692000001</v>
      </c>
      <c r="J10" s="31">
        <f t="shared" si="4"/>
        <v>7.292745583</v>
      </c>
      <c r="K10" s="26">
        <v>116900.81352999996</v>
      </c>
      <c r="L10" s="31">
        <f t="shared" si="5"/>
        <v>13.19935203</v>
      </c>
      <c r="M10" s="26">
        <v>74498.34013000004</v>
      </c>
      <c r="N10" s="31">
        <f t="shared" si="6"/>
        <v>8.411659312</v>
      </c>
      <c r="O10" s="26">
        <v>223298.93006000004</v>
      </c>
      <c r="P10" s="31">
        <f t="shared" si="7"/>
        <v>25.21283724</v>
      </c>
      <c r="Q10" s="26">
        <v>98561.35716</v>
      </c>
      <c r="R10" s="31">
        <f t="shared" si="8"/>
        <v>11.12863127</v>
      </c>
      <c r="S10" s="26">
        <v>140566.87854</v>
      </c>
      <c r="T10" s="31">
        <f t="shared" si="9"/>
        <v>15.87150386</v>
      </c>
      <c r="U10" s="26">
        <v>35614.94536</v>
      </c>
      <c r="V10" s="31">
        <f t="shared" si="10"/>
        <v>4.02130821</v>
      </c>
      <c r="W10" s="26">
        <v>69982.56536000002</v>
      </c>
      <c r="X10" s="31">
        <f t="shared" si="11"/>
        <v>7.901780047</v>
      </c>
      <c r="Y10" s="26">
        <v>35279.80542999999</v>
      </c>
      <c r="Z10" s="31">
        <f t="shared" si="12"/>
        <v>3.983467327</v>
      </c>
      <c r="AA10" s="26">
        <v>12267.1782</v>
      </c>
      <c r="AB10" s="31">
        <f t="shared" si="13"/>
        <v>1.385095608</v>
      </c>
      <c r="AC10" s="26">
        <v>40866.25549000001</v>
      </c>
      <c r="AD10" s="31">
        <f t="shared" si="14"/>
        <v>4.614237283</v>
      </c>
      <c r="AE10" s="26">
        <v>69769.70149</v>
      </c>
      <c r="AF10" s="31">
        <f t="shared" si="15"/>
        <v>7.87774544</v>
      </c>
      <c r="AG10" s="26">
        <v>0.0</v>
      </c>
      <c r="AH10" s="31">
        <f t="shared" si="16"/>
        <v>0</v>
      </c>
      <c r="AI10" s="26">
        <v>5562.813639999999</v>
      </c>
      <c r="AJ10" s="31">
        <f t="shared" si="17"/>
        <v>0.6281011506</v>
      </c>
    </row>
    <row r="11">
      <c r="A11" s="25" t="s">
        <v>41</v>
      </c>
      <c r="B11" s="26">
        <v>82512.80083400004</v>
      </c>
      <c r="C11" s="26">
        <v>3452.389756</v>
      </c>
      <c r="D11" s="31">
        <f t="shared" si="1"/>
        <v>4.184065649</v>
      </c>
      <c r="E11" s="26">
        <v>27854.023591999998</v>
      </c>
      <c r="F11" s="31">
        <f t="shared" si="2"/>
        <v>33.75721501</v>
      </c>
      <c r="G11" s="26">
        <v>43014.55923099998</v>
      </c>
      <c r="H11" s="31">
        <f t="shared" si="3"/>
        <v>52.13077098</v>
      </c>
      <c r="I11" s="26">
        <v>5165.658256000001</v>
      </c>
      <c r="J11" s="31">
        <f t="shared" si="4"/>
        <v>6.260432568</v>
      </c>
      <c r="K11" s="26">
        <v>12267.665624</v>
      </c>
      <c r="L11" s="31">
        <f t="shared" si="5"/>
        <v>14.86759085</v>
      </c>
      <c r="M11" s="26">
        <v>8780.074669000001</v>
      </c>
      <c r="N11" s="31">
        <f t="shared" si="6"/>
        <v>10.6408637</v>
      </c>
      <c r="O11" s="26">
        <v>11976.328806999996</v>
      </c>
      <c r="P11" s="31">
        <f t="shared" si="7"/>
        <v>14.5145101</v>
      </c>
      <c r="Q11" s="26">
        <v>4139.37915</v>
      </c>
      <c r="R11" s="31">
        <f t="shared" si="8"/>
        <v>5.016650881</v>
      </c>
      <c r="S11" s="26">
        <v>8313.26679</v>
      </c>
      <c r="T11" s="31">
        <f t="shared" si="9"/>
        <v>10.07512375</v>
      </c>
      <c r="U11" s="26">
        <v>2467.352238</v>
      </c>
      <c r="V11" s="31">
        <f t="shared" si="10"/>
        <v>2.990266011</v>
      </c>
      <c r="W11" s="26">
        <v>831.70595</v>
      </c>
      <c r="X11" s="31">
        <f t="shared" si="11"/>
        <v>1.007972026</v>
      </c>
      <c r="Y11" s="26">
        <v>2125.7471299999997</v>
      </c>
      <c r="Z11" s="31">
        <f t="shared" si="12"/>
        <v>2.576263451</v>
      </c>
      <c r="AA11" s="26">
        <v>2045.29406</v>
      </c>
      <c r="AB11" s="31">
        <f t="shared" si="13"/>
        <v>2.478759707</v>
      </c>
      <c r="AC11" s="26">
        <v>23054.919612</v>
      </c>
      <c r="AD11" s="31">
        <f t="shared" si="14"/>
        <v>27.94102173</v>
      </c>
      <c r="AE11" s="26">
        <v>16995.297446</v>
      </c>
      <c r="AF11" s="31">
        <f t="shared" si="15"/>
        <v>20.59716465</v>
      </c>
      <c r="AG11" s="26">
        <v>0.0</v>
      </c>
      <c r="AH11" s="31">
        <f t="shared" si="16"/>
        <v>0</v>
      </c>
      <c r="AI11" s="26">
        <v>2945.8034</v>
      </c>
      <c r="AJ11" s="31">
        <f t="shared" si="17"/>
        <v>3.570116843</v>
      </c>
    </row>
    <row r="12">
      <c r="A12" s="25" t="s">
        <v>43</v>
      </c>
      <c r="B12" s="26">
        <v>143470.98770000006</v>
      </c>
      <c r="C12" s="26">
        <v>11752.313559999999</v>
      </c>
      <c r="D12" s="31">
        <f t="shared" si="1"/>
        <v>8.191421658</v>
      </c>
      <c r="E12" s="26">
        <v>56792.40720999999</v>
      </c>
      <c r="F12" s="31">
        <f t="shared" si="2"/>
        <v>39.58459346</v>
      </c>
      <c r="G12" s="26">
        <v>45189.04810999997</v>
      </c>
      <c r="H12" s="31">
        <f t="shared" si="3"/>
        <v>31.49699381</v>
      </c>
      <c r="I12" s="26">
        <v>28077.467160000004</v>
      </c>
      <c r="J12" s="31">
        <f t="shared" si="4"/>
        <v>19.57013582</v>
      </c>
      <c r="K12" s="26">
        <v>43462.97219999999</v>
      </c>
      <c r="L12" s="31">
        <f t="shared" si="5"/>
        <v>30.29391022</v>
      </c>
      <c r="M12" s="26">
        <v>28026.749110000004</v>
      </c>
      <c r="N12" s="31">
        <f t="shared" si="6"/>
        <v>19.53478509</v>
      </c>
      <c r="O12" s="26">
        <v>31726.3767</v>
      </c>
      <c r="P12" s="31">
        <f t="shared" si="7"/>
        <v>22.11344412</v>
      </c>
      <c r="Q12" s="26">
        <v>7386.43708</v>
      </c>
      <c r="R12" s="31">
        <f t="shared" si="8"/>
        <v>5.148383794</v>
      </c>
      <c r="S12" s="26">
        <v>24247.562400000003</v>
      </c>
      <c r="T12" s="31">
        <f t="shared" si="9"/>
        <v>16.90067294</v>
      </c>
      <c r="U12" s="26">
        <v>14983.862509999999</v>
      </c>
      <c r="V12" s="31">
        <f t="shared" si="10"/>
        <v>10.44382753</v>
      </c>
      <c r="W12" s="26">
        <v>5555.12229</v>
      </c>
      <c r="X12" s="31">
        <f t="shared" si="11"/>
        <v>3.871948175</v>
      </c>
      <c r="Y12" s="26">
        <v>2699.62751</v>
      </c>
      <c r="Z12" s="31">
        <f t="shared" si="12"/>
        <v>1.881653952</v>
      </c>
      <c r="AA12" s="26">
        <v>2975.4993</v>
      </c>
      <c r="AB12" s="31">
        <f t="shared" si="13"/>
        <v>2.073937977</v>
      </c>
      <c r="AC12" s="26">
        <v>16403.323790000002</v>
      </c>
      <c r="AD12" s="31">
        <f t="shared" si="14"/>
        <v>11.43319918</v>
      </c>
      <c r="AE12" s="26">
        <v>26652.98796</v>
      </c>
      <c r="AF12" s="31">
        <f t="shared" si="15"/>
        <v>18.57726666</v>
      </c>
      <c r="AG12" s="26">
        <v>0.0</v>
      </c>
      <c r="AH12" s="31">
        <f t="shared" si="16"/>
        <v>0</v>
      </c>
      <c r="AI12" s="26">
        <v>4041.60967</v>
      </c>
      <c r="AJ12" s="31">
        <f t="shared" si="17"/>
        <v>2.817022267</v>
      </c>
    </row>
    <row r="13">
      <c r="A13" s="25" t="s">
        <v>44</v>
      </c>
      <c r="B13" s="26">
        <v>123453.90383700003</v>
      </c>
      <c r="C13" s="26">
        <v>7316.865931</v>
      </c>
      <c r="D13" s="31">
        <f t="shared" si="1"/>
        <v>5.926799966</v>
      </c>
      <c r="E13" s="26">
        <v>32839.226655000006</v>
      </c>
      <c r="F13" s="31">
        <f t="shared" si="2"/>
        <v>26.60039548</v>
      </c>
      <c r="G13" s="26">
        <v>57250.74582200002</v>
      </c>
      <c r="H13" s="31">
        <f t="shared" si="3"/>
        <v>46.37418829</v>
      </c>
      <c r="I13" s="26">
        <v>14545.220038999996</v>
      </c>
      <c r="J13" s="31">
        <f t="shared" si="4"/>
        <v>11.78190368</v>
      </c>
      <c r="K13" s="26">
        <v>39164.283247</v>
      </c>
      <c r="L13" s="31">
        <f t="shared" si="5"/>
        <v>31.7238111</v>
      </c>
      <c r="M13" s="26">
        <v>9960.769150999999</v>
      </c>
      <c r="N13" s="31">
        <f t="shared" si="6"/>
        <v>8.068411643</v>
      </c>
      <c r="O13" s="26">
        <v>18137.700644999997</v>
      </c>
      <c r="P13" s="31">
        <f t="shared" si="7"/>
        <v>14.691881</v>
      </c>
      <c r="Q13" s="26">
        <v>4182.146097</v>
      </c>
      <c r="R13" s="31">
        <f t="shared" si="8"/>
        <v>3.387617537</v>
      </c>
      <c r="S13" s="26">
        <v>20559.435865</v>
      </c>
      <c r="T13" s="31">
        <f t="shared" si="9"/>
        <v>16.65353239</v>
      </c>
      <c r="U13" s="26">
        <v>9594.409461</v>
      </c>
      <c r="V13" s="31">
        <f t="shared" si="10"/>
        <v>7.771653356</v>
      </c>
      <c r="W13" s="26">
        <v>4113.081074</v>
      </c>
      <c r="X13" s="31">
        <f t="shared" si="11"/>
        <v>3.331673561</v>
      </c>
      <c r="Y13" s="26">
        <v>3559.5491110000003</v>
      </c>
      <c r="Z13" s="31">
        <f t="shared" si="12"/>
        <v>2.883302188</v>
      </c>
      <c r="AA13" s="26">
        <v>4473.269333</v>
      </c>
      <c r="AB13" s="31">
        <f t="shared" si="13"/>
        <v>3.623432872</v>
      </c>
      <c r="AC13" s="26">
        <v>3008.498923</v>
      </c>
      <c r="AD13" s="31">
        <f t="shared" si="14"/>
        <v>2.436941101</v>
      </c>
      <c r="AE13" s="26">
        <v>9986.792282999997</v>
      </c>
      <c r="AF13" s="31">
        <f t="shared" si="15"/>
        <v>8.089490873</v>
      </c>
      <c r="AG13" s="26">
        <v>0.0</v>
      </c>
      <c r="AH13" s="31">
        <f t="shared" si="16"/>
        <v>0</v>
      </c>
      <c r="AI13" s="26">
        <v>8456.20889</v>
      </c>
      <c r="AJ13" s="31">
        <f t="shared" si="17"/>
        <v>6.849689339</v>
      </c>
    </row>
    <row r="14">
      <c r="A14" s="25" t="s">
        <v>46</v>
      </c>
      <c r="B14" s="26">
        <v>481285.6212300004</v>
      </c>
      <c r="C14" s="26">
        <v>34724.278000000006</v>
      </c>
      <c r="D14" s="31">
        <f t="shared" si="1"/>
        <v>7.214900356</v>
      </c>
      <c r="E14" s="26">
        <v>184920.60276000004</v>
      </c>
      <c r="F14" s="31">
        <f t="shared" si="2"/>
        <v>38.42221637</v>
      </c>
      <c r="G14" s="26">
        <v>305910.7948500002</v>
      </c>
      <c r="H14" s="31">
        <f t="shared" si="3"/>
        <v>63.56117477</v>
      </c>
      <c r="I14" s="26">
        <v>104629.47003999996</v>
      </c>
      <c r="J14" s="31">
        <f t="shared" si="4"/>
        <v>21.73957946</v>
      </c>
      <c r="K14" s="26">
        <v>137282.29443999997</v>
      </c>
      <c r="L14" s="31">
        <f t="shared" si="5"/>
        <v>28.52407975</v>
      </c>
      <c r="M14" s="26">
        <v>54446.54045</v>
      </c>
      <c r="N14" s="31">
        <f t="shared" si="6"/>
        <v>11.3127295</v>
      </c>
      <c r="O14" s="26">
        <v>140693.19473</v>
      </c>
      <c r="P14" s="31">
        <f t="shared" si="7"/>
        <v>29.2327858</v>
      </c>
      <c r="Q14" s="26">
        <v>10827.494130000001</v>
      </c>
      <c r="R14" s="31">
        <f t="shared" si="8"/>
        <v>2.249702391</v>
      </c>
      <c r="S14" s="26">
        <v>91158.54163999994</v>
      </c>
      <c r="T14" s="31">
        <f t="shared" si="9"/>
        <v>18.94063268</v>
      </c>
      <c r="U14" s="26">
        <v>16100.18638</v>
      </c>
      <c r="V14" s="31">
        <f t="shared" si="10"/>
        <v>3.345245665</v>
      </c>
      <c r="W14" s="26">
        <v>12227.49185</v>
      </c>
      <c r="X14" s="31">
        <f t="shared" si="11"/>
        <v>2.540589478</v>
      </c>
      <c r="Y14" s="26">
        <v>20350.142529999997</v>
      </c>
      <c r="Z14" s="31">
        <f t="shared" si="12"/>
        <v>4.228288075</v>
      </c>
      <c r="AA14" s="26">
        <v>34572.74287</v>
      </c>
      <c r="AB14" s="31">
        <f t="shared" si="13"/>
        <v>7.183414867</v>
      </c>
      <c r="AC14" s="26">
        <v>56156.73244</v>
      </c>
      <c r="AD14" s="31">
        <f t="shared" si="14"/>
        <v>11.66806777</v>
      </c>
      <c r="AE14" s="26">
        <v>149983.3136799999</v>
      </c>
      <c r="AF14" s="31">
        <f t="shared" si="15"/>
        <v>31.16305725</v>
      </c>
      <c r="AG14" s="26">
        <v>0.0</v>
      </c>
      <c r="AH14" s="31">
        <f t="shared" si="16"/>
        <v>0</v>
      </c>
      <c r="AI14" s="26">
        <v>3262.59366</v>
      </c>
      <c r="AJ14" s="31">
        <f t="shared" si="17"/>
        <v>0.6778913635</v>
      </c>
    </row>
    <row r="15">
      <c r="A15" s="25" t="s">
        <v>48</v>
      </c>
      <c r="B15" s="26">
        <v>1301457.76672</v>
      </c>
      <c r="C15" s="26">
        <v>43337.91071</v>
      </c>
      <c r="D15" s="31">
        <f t="shared" si="1"/>
        <v>3.329951368</v>
      </c>
      <c r="E15" s="26">
        <v>229544.89954000007</v>
      </c>
      <c r="F15" s="31">
        <f t="shared" si="2"/>
        <v>17.63752197</v>
      </c>
      <c r="G15" s="26">
        <v>574565.6215899995</v>
      </c>
      <c r="H15" s="31">
        <f t="shared" si="3"/>
        <v>44.14784992</v>
      </c>
      <c r="I15" s="26">
        <v>540674.0833599998</v>
      </c>
      <c r="J15" s="31">
        <f t="shared" si="4"/>
        <v>41.54372867</v>
      </c>
      <c r="K15" s="26">
        <v>316110.3260299999</v>
      </c>
      <c r="L15" s="31">
        <f t="shared" si="5"/>
        <v>24.2889423</v>
      </c>
      <c r="M15" s="26">
        <v>133567.40346000006</v>
      </c>
      <c r="N15" s="31">
        <f t="shared" si="6"/>
        <v>10.26290725</v>
      </c>
      <c r="O15" s="26">
        <v>221623.87873000003</v>
      </c>
      <c r="P15" s="31">
        <f t="shared" si="7"/>
        <v>17.02889517</v>
      </c>
      <c r="Q15" s="26">
        <v>157357.27329000007</v>
      </c>
      <c r="R15" s="31">
        <f t="shared" si="8"/>
        <v>12.09084746</v>
      </c>
      <c r="S15" s="26">
        <v>323383.0526699999</v>
      </c>
      <c r="T15" s="31">
        <f t="shared" si="9"/>
        <v>24.84775618</v>
      </c>
      <c r="U15" s="26">
        <v>19570.6327</v>
      </c>
      <c r="V15" s="31">
        <f t="shared" si="10"/>
        <v>1.503747044</v>
      </c>
      <c r="W15" s="26">
        <v>78297.80551</v>
      </c>
      <c r="X15" s="31">
        <f t="shared" si="11"/>
        <v>6.016161839</v>
      </c>
      <c r="Y15" s="26">
        <v>59108.74537999999</v>
      </c>
      <c r="Z15" s="31">
        <f t="shared" si="12"/>
        <v>4.541733654</v>
      </c>
      <c r="AA15" s="26">
        <v>41952.23625</v>
      </c>
      <c r="AB15" s="31">
        <f t="shared" si="13"/>
        <v>3.223480417</v>
      </c>
      <c r="AC15" s="26">
        <v>333425.1925199999</v>
      </c>
      <c r="AD15" s="31">
        <f t="shared" si="14"/>
        <v>25.61936323</v>
      </c>
      <c r="AE15" s="26">
        <v>522391.24601000006</v>
      </c>
      <c r="AF15" s="31">
        <f t="shared" si="15"/>
        <v>40.13893185</v>
      </c>
      <c r="AG15" s="26">
        <v>0.0</v>
      </c>
      <c r="AH15" s="31">
        <f t="shared" si="16"/>
        <v>0</v>
      </c>
      <c r="AI15" s="26">
        <v>18701.404</v>
      </c>
      <c r="AJ15" s="31">
        <f t="shared" si="17"/>
        <v>1.436958192</v>
      </c>
    </row>
    <row r="16">
      <c r="A16" s="25" t="s">
        <v>50</v>
      </c>
      <c r="B16" s="26">
        <v>79700.92789</v>
      </c>
      <c r="C16" s="26">
        <v>7219.17236</v>
      </c>
      <c r="D16" s="31">
        <f t="shared" si="1"/>
        <v>9.057827244</v>
      </c>
      <c r="E16" s="26">
        <v>29734.256660000006</v>
      </c>
      <c r="F16" s="31">
        <f t="shared" si="2"/>
        <v>37.30729045</v>
      </c>
      <c r="G16" s="26">
        <v>24818.71043</v>
      </c>
      <c r="H16" s="31">
        <f t="shared" si="3"/>
        <v>31.13980111</v>
      </c>
      <c r="I16" s="26">
        <v>26118.51784</v>
      </c>
      <c r="J16" s="31">
        <f t="shared" si="4"/>
        <v>32.77065717</v>
      </c>
      <c r="K16" s="26">
        <v>25099.77041000001</v>
      </c>
      <c r="L16" s="31">
        <f t="shared" si="5"/>
        <v>31.49244441</v>
      </c>
      <c r="M16" s="26">
        <v>10532.08379</v>
      </c>
      <c r="N16" s="31">
        <f t="shared" si="6"/>
        <v>13.21450586</v>
      </c>
      <c r="O16" s="26">
        <v>9896.98283</v>
      </c>
      <c r="P16" s="31">
        <f t="shared" si="7"/>
        <v>12.4176507</v>
      </c>
      <c r="Q16" s="26">
        <v>206.69014</v>
      </c>
      <c r="R16" s="31">
        <f t="shared" si="8"/>
        <v>0.2593321627</v>
      </c>
      <c r="S16" s="26">
        <v>3077.4793300000006</v>
      </c>
      <c r="T16" s="31">
        <f t="shared" si="9"/>
        <v>3.861284193</v>
      </c>
      <c r="U16" s="26">
        <v>4698.03007</v>
      </c>
      <c r="V16" s="31">
        <f t="shared" si="10"/>
        <v>5.894573871</v>
      </c>
      <c r="W16" s="26">
        <v>1020.5268699999999</v>
      </c>
      <c r="X16" s="31">
        <f t="shared" si="11"/>
        <v>1.280445406</v>
      </c>
      <c r="Y16" s="26">
        <v>4316.7921799999995</v>
      </c>
      <c r="Z16" s="31">
        <f t="shared" si="12"/>
        <v>5.416238298</v>
      </c>
      <c r="AA16" s="26">
        <v>2510.6875000000005</v>
      </c>
      <c r="AB16" s="31">
        <f t="shared" si="13"/>
        <v>3.150135847</v>
      </c>
      <c r="AC16" s="26">
        <v>3306.31335</v>
      </c>
      <c r="AD16" s="31">
        <f t="shared" si="14"/>
        <v>4.148400072</v>
      </c>
      <c r="AE16" s="26">
        <v>9091.116000000002</v>
      </c>
      <c r="AF16" s="31">
        <f t="shared" si="15"/>
        <v>11.40653721</v>
      </c>
      <c r="AG16" s="26">
        <v>0.0</v>
      </c>
      <c r="AH16" s="31">
        <f t="shared" si="16"/>
        <v>0</v>
      </c>
      <c r="AI16" s="26">
        <v>7958.24107</v>
      </c>
      <c r="AJ16" s="31">
        <f t="shared" si="17"/>
        <v>9.98512976</v>
      </c>
    </row>
    <row r="17">
      <c r="A17" s="25" t="s">
        <v>51</v>
      </c>
      <c r="B17" s="26">
        <v>162781.29645</v>
      </c>
      <c r="C17" s="26">
        <v>26413.32973</v>
      </c>
      <c r="D17" s="31">
        <f t="shared" si="1"/>
        <v>16.22626819</v>
      </c>
      <c r="E17" s="26">
        <v>79886.13779000001</v>
      </c>
      <c r="F17" s="31">
        <f t="shared" si="2"/>
        <v>49.07574736</v>
      </c>
      <c r="G17" s="26">
        <v>56935.57902</v>
      </c>
      <c r="H17" s="31">
        <f t="shared" si="3"/>
        <v>34.97673275</v>
      </c>
      <c r="I17" s="26">
        <v>11086.24014</v>
      </c>
      <c r="J17" s="31">
        <f t="shared" si="4"/>
        <v>6.810512253</v>
      </c>
      <c r="K17" s="26">
        <v>59025.814529999996</v>
      </c>
      <c r="L17" s="31">
        <f t="shared" si="5"/>
        <v>36.26080872</v>
      </c>
      <c r="M17" s="26">
        <v>32757.568150000003</v>
      </c>
      <c r="N17" s="31">
        <f t="shared" si="6"/>
        <v>20.1236683</v>
      </c>
      <c r="O17" s="26">
        <v>19957.96755</v>
      </c>
      <c r="P17" s="31">
        <f t="shared" si="7"/>
        <v>12.26060241</v>
      </c>
      <c r="Q17" s="26">
        <v>0.0</v>
      </c>
      <c r="R17" s="31">
        <f t="shared" si="8"/>
        <v>0</v>
      </c>
      <c r="S17" s="26">
        <v>16700.17877</v>
      </c>
      <c r="T17" s="31">
        <f t="shared" si="9"/>
        <v>10.25927372</v>
      </c>
      <c r="U17" s="26">
        <v>11961.72747</v>
      </c>
      <c r="V17" s="31">
        <f t="shared" si="10"/>
        <v>7.348342673</v>
      </c>
      <c r="W17" s="26">
        <v>2137.00021</v>
      </c>
      <c r="X17" s="31">
        <f t="shared" si="11"/>
        <v>1.312804515</v>
      </c>
      <c r="Y17" s="26">
        <v>0.0</v>
      </c>
      <c r="Z17" s="31">
        <f t="shared" si="12"/>
        <v>0</v>
      </c>
      <c r="AA17" s="26">
        <v>0.0</v>
      </c>
      <c r="AB17" s="31">
        <f t="shared" si="13"/>
        <v>0</v>
      </c>
      <c r="AC17" s="26">
        <v>4624.56327</v>
      </c>
      <c r="AD17" s="31">
        <f t="shared" si="14"/>
        <v>2.840967219</v>
      </c>
      <c r="AE17" s="26">
        <v>67362.39549</v>
      </c>
      <c r="AF17" s="31">
        <f t="shared" si="15"/>
        <v>41.38214706</v>
      </c>
      <c r="AG17" s="26">
        <v>0.0</v>
      </c>
      <c r="AH17" s="31">
        <f t="shared" si="16"/>
        <v>0</v>
      </c>
      <c r="AI17" s="26">
        <v>7000.178019999999</v>
      </c>
      <c r="AJ17" s="31">
        <f t="shared" si="17"/>
        <v>4.300357702</v>
      </c>
    </row>
    <row r="18">
      <c r="A18" s="25" t="s">
        <v>53</v>
      </c>
      <c r="B18" s="26">
        <v>259860.5792000002</v>
      </c>
      <c r="C18" s="26">
        <v>23457.468160000004</v>
      </c>
      <c r="D18" s="31">
        <f t="shared" si="1"/>
        <v>9.026943691</v>
      </c>
      <c r="E18" s="26">
        <v>134439.4712500001</v>
      </c>
      <c r="F18" s="31">
        <f t="shared" si="2"/>
        <v>51.73523112</v>
      </c>
      <c r="G18" s="26">
        <v>120649.49563000009</v>
      </c>
      <c r="H18" s="31">
        <f t="shared" si="3"/>
        <v>46.42854872</v>
      </c>
      <c r="I18" s="26">
        <v>15324.7005</v>
      </c>
      <c r="J18" s="31">
        <f t="shared" si="4"/>
        <v>5.897277897</v>
      </c>
      <c r="K18" s="26">
        <v>45558.868679999985</v>
      </c>
      <c r="L18" s="31">
        <f t="shared" si="5"/>
        <v>17.53204307</v>
      </c>
      <c r="M18" s="26">
        <v>25905.366929999997</v>
      </c>
      <c r="N18" s="31">
        <f t="shared" si="6"/>
        <v>9.968948353</v>
      </c>
      <c r="O18" s="26">
        <v>40680.328359999985</v>
      </c>
      <c r="P18" s="31">
        <f t="shared" si="7"/>
        <v>15.6546747</v>
      </c>
      <c r="Q18" s="26">
        <v>17614.77354</v>
      </c>
      <c r="R18" s="31">
        <f t="shared" si="8"/>
        <v>6.778547787</v>
      </c>
      <c r="S18" s="26">
        <v>34073.38449</v>
      </c>
      <c r="T18" s="31">
        <f t="shared" si="9"/>
        <v>13.11217907</v>
      </c>
      <c r="U18" s="26">
        <v>3679.00166</v>
      </c>
      <c r="V18" s="31">
        <f t="shared" si="10"/>
        <v>1.415759817</v>
      </c>
      <c r="W18" s="26">
        <v>7793.481830000001</v>
      </c>
      <c r="X18" s="31">
        <f t="shared" si="11"/>
        <v>2.999101231</v>
      </c>
      <c r="Y18" s="26">
        <v>6847.00427</v>
      </c>
      <c r="Z18" s="31">
        <f t="shared" si="12"/>
        <v>2.634876091</v>
      </c>
      <c r="AA18" s="26">
        <v>16150.57631</v>
      </c>
      <c r="AB18" s="31">
        <f t="shared" si="13"/>
        <v>6.215092862</v>
      </c>
      <c r="AC18" s="26">
        <v>11607.02163</v>
      </c>
      <c r="AD18" s="31">
        <f t="shared" si="14"/>
        <v>4.466634249</v>
      </c>
      <c r="AE18" s="26">
        <v>32677.80454000001</v>
      </c>
      <c r="AF18" s="31">
        <f t="shared" si="15"/>
        <v>12.57512957</v>
      </c>
      <c r="AG18" s="26">
        <v>0.0</v>
      </c>
      <c r="AH18" s="31">
        <f t="shared" si="16"/>
        <v>0</v>
      </c>
      <c r="AI18" s="26">
        <v>336.5856</v>
      </c>
      <c r="AJ18" s="31">
        <f t="shared" si="17"/>
        <v>0.1295254559</v>
      </c>
    </row>
    <row r="19">
      <c r="A19" s="25" t="s">
        <v>54</v>
      </c>
      <c r="B19" s="26">
        <v>118572.88934000008</v>
      </c>
      <c r="C19" s="26">
        <v>15924.2634</v>
      </c>
      <c r="D19" s="31">
        <f t="shared" si="1"/>
        <v>13.42993621</v>
      </c>
      <c r="E19" s="26">
        <v>39959.94796999998</v>
      </c>
      <c r="F19" s="31">
        <f t="shared" si="2"/>
        <v>33.70074575</v>
      </c>
      <c r="G19" s="26">
        <v>70205.56017999997</v>
      </c>
      <c r="H19" s="31">
        <f t="shared" si="3"/>
        <v>59.20877915</v>
      </c>
      <c r="I19" s="26">
        <v>15894.513049999998</v>
      </c>
      <c r="J19" s="31">
        <f t="shared" si="4"/>
        <v>13.40484586</v>
      </c>
      <c r="K19" s="26">
        <v>22109.360839999994</v>
      </c>
      <c r="L19" s="31">
        <f t="shared" si="5"/>
        <v>18.64621918</v>
      </c>
      <c r="M19" s="26">
        <v>7479.66744</v>
      </c>
      <c r="N19" s="31">
        <f t="shared" si="6"/>
        <v>6.308075549</v>
      </c>
      <c r="O19" s="26">
        <v>17112.197599999996</v>
      </c>
      <c r="P19" s="31">
        <f t="shared" si="7"/>
        <v>14.43179608</v>
      </c>
      <c r="Q19" s="26">
        <v>9838.02894</v>
      </c>
      <c r="R19" s="31">
        <f t="shared" si="8"/>
        <v>8.297030624</v>
      </c>
      <c r="S19" s="26">
        <v>36714.866559999995</v>
      </c>
      <c r="T19" s="31">
        <f t="shared" si="9"/>
        <v>30.96396382</v>
      </c>
      <c r="U19" s="26">
        <v>7431.54963</v>
      </c>
      <c r="V19" s="31">
        <f t="shared" si="10"/>
        <v>6.267494763</v>
      </c>
      <c r="W19" s="26">
        <v>13594.26258</v>
      </c>
      <c r="X19" s="31">
        <f t="shared" si="11"/>
        <v>11.46489949</v>
      </c>
      <c r="Y19" s="26">
        <v>13448.716090000002</v>
      </c>
      <c r="Z19" s="31">
        <f t="shared" si="12"/>
        <v>11.34215095</v>
      </c>
      <c r="AA19" s="26">
        <v>3455.66425</v>
      </c>
      <c r="AB19" s="31">
        <f t="shared" si="13"/>
        <v>2.914379728</v>
      </c>
      <c r="AC19" s="26">
        <v>1796.98225</v>
      </c>
      <c r="AD19" s="31">
        <f t="shared" si="14"/>
        <v>1.515508528</v>
      </c>
      <c r="AE19" s="26">
        <v>8232.62052</v>
      </c>
      <c r="AF19" s="31">
        <f t="shared" si="15"/>
        <v>6.943088396</v>
      </c>
      <c r="AG19" s="26">
        <v>0.0</v>
      </c>
      <c r="AH19" s="31">
        <f t="shared" si="16"/>
        <v>0</v>
      </c>
      <c r="AI19" s="26">
        <v>4133.09756</v>
      </c>
      <c r="AJ19" s="31">
        <f t="shared" si="17"/>
        <v>3.485701987</v>
      </c>
    </row>
    <row r="20">
      <c r="A20" s="25" t="s">
        <v>56</v>
      </c>
      <c r="B20" s="26">
        <v>108915.04174600009</v>
      </c>
      <c r="C20" s="26">
        <v>12524.63937</v>
      </c>
      <c r="D20" s="31">
        <f t="shared" si="1"/>
        <v>11.4994579</v>
      </c>
      <c r="E20" s="26">
        <v>59117.211749999995</v>
      </c>
      <c r="F20" s="31">
        <f t="shared" si="2"/>
        <v>54.27828039</v>
      </c>
      <c r="G20" s="26">
        <v>35386.213965</v>
      </c>
      <c r="H20" s="31">
        <f t="shared" si="3"/>
        <v>32.48974007</v>
      </c>
      <c r="I20" s="26">
        <v>9407.56476</v>
      </c>
      <c r="J20" s="31">
        <f t="shared" si="4"/>
        <v>8.637525735</v>
      </c>
      <c r="K20" s="26">
        <v>27765.326707000004</v>
      </c>
      <c r="L20" s="31">
        <f t="shared" si="5"/>
        <v>25.49264662</v>
      </c>
      <c r="M20" s="26">
        <v>11030.799999999997</v>
      </c>
      <c r="N20" s="31">
        <f t="shared" si="6"/>
        <v>10.12789402</v>
      </c>
      <c r="O20" s="26">
        <v>12349.333305999999</v>
      </c>
      <c r="P20" s="31">
        <f t="shared" si="7"/>
        <v>11.33850119</v>
      </c>
      <c r="Q20" s="26">
        <v>9215.370062</v>
      </c>
      <c r="R20" s="31">
        <f t="shared" si="8"/>
        <v>8.461062783</v>
      </c>
      <c r="S20" s="26">
        <v>1117.16876</v>
      </c>
      <c r="T20" s="31">
        <f t="shared" si="9"/>
        <v>1.025724952</v>
      </c>
      <c r="U20" s="26">
        <v>2833.0400400000003</v>
      </c>
      <c r="V20" s="31">
        <f t="shared" si="10"/>
        <v>2.601146724</v>
      </c>
      <c r="W20" s="26">
        <v>6859.25586</v>
      </c>
      <c r="X20" s="31">
        <f t="shared" si="11"/>
        <v>6.297804004</v>
      </c>
      <c r="Y20" s="26">
        <v>1998.4701759999998</v>
      </c>
      <c r="Z20" s="31">
        <f t="shared" si="12"/>
        <v>1.834889051</v>
      </c>
      <c r="AA20" s="26">
        <v>3910.6964400000006</v>
      </c>
      <c r="AB20" s="31">
        <f t="shared" si="13"/>
        <v>3.590593528</v>
      </c>
      <c r="AC20" s="26">
        <v>5411.14354</v>
      </c>
      <c r="AD20" s="31">
        <f t="shared" si="14"/>
        <v>4.968224272</v>
      </c>
      <c r="AE20" s="26">
        <v>11633.576786000001</v>
      </c>
      <c r="AF20" s="31">
        <f t="shared" si="15"/>
        <v>10.68133161</v>
      </c>
      <c r="AG20" s="26">
        <v>0.0</v>
      </c>
      <c r="AH20" s="31">
        <f t="shared" si="16"/>
        <v>0</v>
      </c>
      <c r="AI20" s="26">
        <v>2353.73751</v>
      </c>
      <c r="AJ20" s="31">
        <f t="shared" si="17"/>
        <v>2.161076627</v>
      </c>
    </row>
    <row r="21" ht="15.75" customHeight="1">
      <c r="A21" s="25" t="s">
        <v>57</v>
      </c>
      <c r="B21" s="26">
        <v>41192.42498999998</v>
      </c>
      <c r="C21" s="26">
        <v>2091.8762</v>
      </c>
      <c r="D21" s="31">
        <f t="shared" si="1"/>
        <v>5.078303112</v>
      </c>
      <c r="E21" s="26">
        <v>13379.41583</v>
      </c>
      <c r="F21" s="31">
        <f t="shared" si="2"/>
        <v>32.48028207</v>
      </c>
      <c r="G21" s="26">
        <v>15985.759489999999</v>
      </c>
      <c r="H21" s="31">
        <f t="shared" si="3"/>
        <v>38.80752224</v>
      </c>
      <c r="I21" s="26">
        <v>0.0</v>
      </c>
      <c r="J21" s="31">
        <f t="shared" si="4"/>
        <v>0</v>
      </c>
      <c r="K21" s="26">
        <v>8869.36197</v>
      </c>
      <c r="L21" s="31">
        <f t="shared" si="5"/>
        <v>21.53153637</v>
      </c>
      <c r="M21" s="26">
        <v>3978.7425999999996</v>
      </c>
      <c r="N21" s="31">
        <f t="shared" si="6"/>
        <v>9.658918117</v>
      </c>
      <c r="O21" s="26">
        <v>5174.3983100000005</v>
      </c>
      <c r="P21" s="31">
        <f t="shared" si="7"/>
        <v>12.56152875</v>
      </c>
      <c r="Q21" s="26">
        <v>0.0</v>
      </c>
      <c r="R21" s="31">
        <f t="shared" si="8"/>
        <v>0</v>
      </c>
      <c r="S21" s="26">
        <v>3748.4962</v>
      </c>
      <c r="T21" s="31">
        <f t="shared" si="9"/>
        <v>9.099964862</v>
      </c>
      <c r="U21" s="26">
        <v>706.6701</v>
      </c>
      <c r="V21" s="31">
        <f t="shared" si="10"/>
        <v>1.715534107</v>
      </c>
      <c r="W21" s="26">
        <v>0.0</v>
      </c>
      <c r="X21" s="31">
        <f t="shared" si="11"/>
        <v>0</v>
      </c>
      <c r="Y21" s="26">
        <v>0.0</v>
      </c>
      <c r="Z21" s="31">
        <f t="shared" si="12"/>
        <v>0</v>
      </c>
      <c r="AA21" s="26">
        <v>0.0</v>
      </c>
      <c r="AB21" s="31">
        <f t="shared" si="13"/>
        <v>0</v>
      </c>
      <c r="AC21" s="26">
        <v>2078.5579</v>
      </c>
      <c r="AD21" s="31">
        <f t="shared" si="14"/>
        <v>5.045971196</v>
      </c>
      <c r="AE21" s="26">
        <v>513.33002</v>
      </c>
      <c r="AF21" s="31">
        <f t="shared" si="15"/>
        <v>1.246175772</v>
      </c>
      <c r="AG21" s="26">
        <v>0.0</v>
      </c>
      <c r="AH21" s="31">
        <f t="shared" si="16"/>
        <v>0</v>
      </c>
      <c r="AI21" s="26">
        <v>9292.13674</v>
      </c>
      <c r="AJ21" s="31">
        <f t="shared" si="17"/>
        <v>22.55787743</v>
      </c>
    </row>
    <row r="22" ht="15.75" customHeight="1">
      <c r="A22" s="25" t="s">
        <v>59</v>
      </c>
      <c r="B22" s="26">
        <v>43233.54448</v>
      </c>
      <c r="C22" s="26">
        <v>4711.7419899999995</v>
      </c>
      <c r="D22" s="31">
        <f t="shared" si="1"/>
        <v>10.89834768</v>
      </c>
      <c r="E22" s="26">
        <v>6588.537439999999</v>
      </c>
      <c r="F22" s="31">
        <f t="shared" si="2"/>
        <v>15.23941078</v>
      </c>
      <c r="G22" s="26">
        <v>9505.99841</v>
      </c>
      <c r="H22" s="31">
        <f t="shared" si="3"/>
        <v>21.98755278</v>
      </c>
      <c r="I22" s="26">
        <v>2950.84639</v>
      </c>
      <c r="J22" s="31">
        <f t="shared" si="4"/>
        <v>6.825363096</v>
      </c>
      <c r="K22" s="26">
        <v>12290.41259</v>
      </c>
      <c r="L22" s="31">
        <f t="shared" si="5"/>
        <v>28.42795505</v>
      </c>
      <c r="M22" s="26">
        <v>1189.0189500000001</v>
      </c>
      <c r="N22" s="31">
        <f t="shared" si="6"/>
        <v>2.750223153</v>
      </c>
      <c r="O22" s="26">
        <v>678.34003</v>
      </c>
      <c r="P22" s="31">
        <f t="shared" si="7"/>
        <v>1.569013224</v>
      </c>
      <c r="Q22" s="26">
        <v>1415.25</v>
      </c>
      <c r="R22" s="31">
        <f t="shared" si="8"/>
        <v>3.273499818</v>
      </c>
      <c r="S22" s="26">
        <v>8598.25024</v>
      </c>
      <c r="T22" s="31">
        <f t="shared" si="9"/>
        <v>19.88791422</v>
      </c>
      <c r="U22" s="26">
        <v>0.0</v>
      </c>
      <c r="V22" s="31">
        <f t="shared" si="10"/>
        <v>0</v>
      </c>
      <c r="W22" s="26">
        <v>2468.6001</v>
      </c>
      <c r="X22" s="31">
        <f t="shared" si="11"/>
        <v>5.709918374</v>
      </c>
      <c r="Y22" s="26">
        <v>869.1586</v>
      </c>
      <c r="Z22" s="31">
        <f t="shared" si="12"/>
        <v>2.010380158</v>
      </c>
      <c r="AA22" s="26">
        <v>0.0</v>
      </c>
      <c r="AB22" s="31">
        <f t="shared" si="13"/>
        <v>0</v>
      </c>
      <c r="AC22" s="26">
        <v>0.0</v>
      </c>
      <c r="AD22" s="31">
        <f t="shared" si="14"/>
        <v>0</v>
      </c>
      <c r="AE22" s="26">
        <v>9251.09736</v>
      </c>
      <c r="AF22" s="31">
        <f t="shared" si="15"/>
        <v>21.39796186</v>
      </c>
      <c r="AG22" s="26">
        <v>0.0</v>
      </c>
      <c r="AH22" s="31">
        <f t="shared" si="16"/>
        <v>0</v>
      </c>
      <c r="AI22" s="26">
        <v>1100.3693</v>
      </c>
      <c r="AJ22" s="31">
        <f t="shared" si="17"/>
        <v>2.545174848</v>
      </c>
    </row>
    <row r="23" ht="15.75" customHeight="1">
      <c r="A23" s="25" t="s">
        <v>60</v>
      </c>
      <c r="B23" s="26">
        <v>76727.59409999999</v>
      </c>
      <c r="C23" s="26">
        <v>14510.0703</v>
      </c>
      <c r="D23" s="31">
        <f t="shared" si="1"/>
        <v>18.91114985</v>
      </c>
      <c r="E23" s="26">
        <v>27002.251729999996</v>
      </c>
      <c r="F23" s="31">
        <f t="shared" si="2"/>
        <v>35.19236078</v>
      </c>
      <c r="G23" s="26">
        <v>45952.65116000001</v>
      </c>
      <c r="H23" s="31">
        <f t="shared" si="3"/>
        <v>59.89064521</v>
      </c>
      <c r="I23" s="26">
        <v>4060.38833</v>
      </c>
      <c r="J23" s="31">
        <f t="shared" si="4"/>
        <v>5.291953146</v>
      </c>
      <c r="K23" s="26">
        <v>11295.876499999998</v>
      </c>
      <c r="L23" s="31">
        <f t="shared" si="5"/>
        <v>14.72205226</v>
      </c>
      <c r="M23" s="26">
        <v>15960.870079999999</v>
      </c>
      <c r="N23" s="31">
        <f t="shared" si="6"/>
        <v>20.80199473</v>
      </c>
      <c r="O23" s="26">
        <v>2675.38</v>
      </c>
      <c r="P23" s="31">
        <f t="shared" si="7"/>
        <v>3.486855064</v>
      </c>
      <c r="Q23" s="26">
        <v>20073.487</v>
      </c>
      <c r="R23" s="31">
        <f t="shared" si="8"/>
        <v>26.16201803</v>
      </c>
      <c r="S23" s="26">
        <v>2018.07001</v>
      </c>
      <c r="T23" s="31">
        <f t="shared" si="9"/>
        <v>2.630175015</v>
      </c>
      <c r="U23" s="26">
        <v>0.0</v>
      </c>
      <c r="V23" s="31">
        <f t="shared" si="10"/>
        <v>0</v>
      </c>
      <c r="W23" s="26">
        <v>15155.62811</v>
      </c>
      <c r="X23" s="31">
        <f t="shared" si="11"/>
        <v>19.75251314</v>
      </c>
      <c r="Y23" s="26">
        <v>0.0</v>
      </c>
      <c r="Z23" s="31">
        <f t="shared" si="12"/>
        <v>0</v>
      </c>
      <c r="AA23" s="26">
        <v>8288.508</v>
      </c>
      <c r="AB23" s="31">
        <f t="shared" si="13"/>
        <v>10.80251257</v>
      </c>
      <c r="AC23" s="26">
        <v>0.0</v>
      </c>
      <c r="AD23" s="31">
        <f t="shared" si="14"/>
        <v>0</v>
      </c>
      <c r="AE23" s="26">
        <v>6948.32414</v>
      </c>
      <c r="AF23" s="31">
        <f t="shared" si="15"/>
        <v>9.055834764</v>
      </c>
      <c r="AG23" s="26">
        <v>0.0</v>
      </c>
      <c r="AH23" s="31">
        <f t="shared" si="16"/>
        <v>0</v>
      </c>
      <c r="AI23" s="26">
        <v>2163.7927</v>
      </c>
      <c r="AJ23" s="31">
        <f t="shared" si="17"/>
        <v>2.820097157</v>
      </c>
    </row>
    <row r="24" ht="15.75" customHeight="1">
      <c r="A24" s="25" t="s">
        <v>63</v>
      </c>
      <c r="B24" s="26">
        <v>114196.97564</v>
      </c>
      <c r="C24" s="26">
        <v>13040.879630000003</v>
      </c>
      <c r="D24" s="31">
        <f t="shared" si="1"/>
        <v>11.4196366</v>
      </c>
      <c r="E24" s="26">
        <v>45749.53086999999</v>
      </c>
      <c r="F24" s="31">
        <f t="shared" si="2"/>
        <v>40.06194614</v>
      </c>
      <c r="G24" s="26">
        <v>35909.223699999995</v>
      </c>
      <c r="H24" s="31">
        <f t="shared" si="3"/>
        <v>31.44498661</v>
      </c>
      <c r="I24" s="26">
        <v>9700.38256</v>
      </c>
      <c r="J24" s="31">
        <f t="shared" si="4"/>
        <v>8.494430352</v>
      </c>
      <c r="K24" s="26">
        <v>29602.07435</v>
      </c>
      <c r="L24" s="31">
        <f t="shared" si="5"/>
        <v>25.92194249</v>
      </c>
      <c r="M24" s="26">
        <v>8027.740880000001</v>
      </c>
      <c r="N24" s="31">
        <f t="shared" si="6"/>
        <v>7.029731598</v>
      </c>
      <c r="O24" s="26">
        <v>6913.6030900000005</v>
      </c>
      <c r="P24" s="31">
        <f t="shared" si="7"/>
        <v>6.054103492</v>
      </c>
      <c r="Q24" s="26">
        <v>3976.8307</v>
      </c>
      <c r="R24" s="31">
        <f t="shared" si="8"/>
        <v>3.482430842</v>
      </c>
      <c r="S24" s="26">
        <v>20113.313699999995</v>
      </c>
      <c r="T24" s="31">
        <f t="shared" si="9"/>
        <v>17.6128252</v>
      </c>
      <c r="U24" s="26">
        <v>1774.3898</v>
      </c>
      <c r="V24" s="31">
        <f t="shared" si="10"/>
        <v>1.553797542</v>
      </c>
      <c r="W24" s="26">
        <v>626.79111</v>
      </c>
      <c r="X24" s="31">
        <f t="shared" si="11"/>
        <v>0.5488683973</v>
      </c>
      <c r="Y24" s="26">
        <v>0.0</v>
      </c>
      <c r="Z24" s="31">
        <f t="shared" si="12"/>
        <v>0</v>
      </c>
      <c r="AA24" s="26">
        <v>0.0</v>
      </c>
      <c r="AB24" s="31">
        <f t="shared" si="13"/>
        <v>0</v>
      </c>
      <c r="AC24" s="26">
        <v>14557.20867</v>
      </c>
      <c r="AD24" s="31">
        <f t="shared" si="14"/>
        <v>12.74745552</v>
      </c>
      <c r="AE24" s="26">
        <v>17639.22092</v>
      </c>
      <c r="AF24" s="31">
        <f t="shared" si="15"/>
        <v>15.4463118</v>
      </c>
      <c r="AG24" s="26">
        <v>0.0</v>
      </c>
      <c r="AH24" s="31">
        <f t="shared" si="16"/>
        <v>0</v>
      </c>
      <c r="AI24" s="26">
        <v>702.08856</v>
      </c>
      <c r="AJ24" s="31">
        <f t="shared" si="17"/>
        <v>0.6148048633</v>
      </c>
    </row>
    <row r="25" ht="15.75" customHeight="1">
      <c r="A25" s="25" t="s">
        <v>64</v>
      </c>
      <c r="B25" s="26">
        <v>36664.18975999999</v>
      </c>
      <c r="C25" s="26">
        <v>5484.182749999999</v>
      </c>
      <c r="D25" s="31">
        <f t="shared" si="1"/>
        <v>14.95787248</v>
      </c>
      <c r="E25" s="26">
        <v>12325.67593</v>
      </c>
      <c r="F25" s="31">
        <f t="shared" si="2"/>
        <v>33.61775076</v>
      </c>
      <c r="G25" s="26">
        <v>8066.76208</v>
      </c>
      <c r="H25" s="31">
        <f t="shared" si="3"/>
        <v>22.00174648</v>
      </c>
      <c r="I25" s="26">
        <v>4470.54892</v>
      </c>
      <c r="J25" s="31">
        <f t="shared" si="4"/>
        <v>12.19322982</v>
      </c>
      <c r="K25" s="26">
        <v>15644.460879999999</v>
      </c>
      <c r="L25" s="31">
        <f t="shared" si="5"/>
        <v>42.66959391</v>
      </c>
      <c r="M25" s="26">
        <v>10537.261529999998</v>
      </c>
      <c r="N25" s="31">
        <f t="shared" si="6"/>
        <v>28.73992743</v>
      </c>
      <c r="O25" s="26">
        <v>6039.753450000001</v>
      </c>
      <c r="P25" s="31">
        <f t="shared" si="7"/>
        <v>16.47316766</v>
      </c>
      <c r="Q25" s="26">
        <v>948.36444</v>
      </c>
      <c r="R25" s="31">
        <f t="shared" si="8"/>
        <v>2.586623204</v>
      </c>
      <c r="S25" s="26">
        <v>3990.86344</v>
      </c>
      <c r="T25" s="31">
        <f t="shared" si="9"/>
        <v>10.88490832</v>
      </c>
      <c r="U25" s="26">
        <v>3445.0808800000004</v>
      </c>
      <c r="V25" s="31">
        <f t="shared" si="10"/>
        <v>9.396309867</v>
      </c>
      <c r="W25" s="26">
        <v>1247.1417099999999</v>
      </c>
      <c r="X25" s="31">
        <f t="shared" si="11"/>
        <v>3.401525353</v>
      </c>
      <c r="Y25" s="26">
        <v>0.0</v>
      </c>
      <c r="Z25" s="31">
        <f t="shared" si="12"/>
        <v>0</v>
      </c>
      <c r="AA25" s="26">
        <v>1652.07443</v>
      </c>
      <c r="AB25" s="31">
        <f t="shared" si="13"/>
        <v>4.505961923</v>
      </c>
      <c r="AC25" s="26">
        <v>2609.28424</v>
      </c>
      <c r="AD25" s="31">
        <f t="shared" si="14"/>
        <v>7.116710493</v>
      </c>
      <c r="AE25" s="26">
        <v>8734.77164</v>
      </c>
      <c r="AF25" s="31">
        <f t="shared" si="15"/>
        <v>23.82371381</v>
      </c>
      <c r="AG25" s="26">
        <v>0.0</v>
      </c>
      <c r="AH25" s="31">
        <f t="shared" si="16"/>
        <v>0</v>
      </c>
      <c r="AI25" s="26">
        <v>189.30804</v>
      </c>
      <c r="AJ25" s="31">
        <f t="shared" si="17"/>
        <v>0.5163295336</v>
      </c>
    </row>
    <row r="26" ht="15.75" customHeight="1">
      <c r="A26" s="25" t="s">
        <v>65</v>
      </c>
      <c r="B26" s="26">
        <v>10865.243088</v>
      </c>
      <c r="C26" s="26">
        <v>0.0</v>
      </c>
      <c r="D26" s="31">
        <f t="shared" si="1"/>
        <v>0</v>
      </c>
      <c r="E26" s="26">
        <v>3167.46426</v>
      </c>
      <c r="F26" s="31">
        <f t="shared" si="2"/>
        <v>29.15226318</v>
      </c>
      <c r="G26" s="26">
        <v>57.927448</v>
      </c>
      <c r="H26" s="31">
        <f t="shared" si="3"/>
        <v>0.533144519</v>
      </c>
      <c r="I26" s="26">
        <v>0.0</v>
      </c>
      <c r="J26" s="31">
        <f t="shared" si="4"/>
        <v>0</v>
      </c>
      <c r="K26" s="26">
        <v>1199.966248</v>
      </c>
      <c r="L26" s="31">
        <f t="shared" si="5"/>
        <v>11.044081</v>
      </c>
      <c r="M26" s="26">
        <v>1142.0388</v>
      </c>
      <c r="N26" s="31">
        <f t="shared" si="6"/>
        <v>10.51093649</v>
      </c>
      <c r="O26" s="26">
        <v>1009.6264180000001</v>
      </c>
      <c r="P26" s="31">
        <f t="shared" si="7"/>
        <v>9.292257981</v>
      </c>
      <c r="Q26" s="26">
        <v>0.0</v>
      </c>
      <c r="R26" s="31">
        <f t="shared" si="8"/>
        <v>0</v>
      </c>
      <c r="S26" s="26">
        <v>1269.537</v>
      </c>
      <c r="T26" s="31">
        <f t="shared" si="9"/>
        <v>11.68438653</v>
      </c>
      <c r="U26" s="26">
        <v>0.0</v>
      </c>
      <c r="V26" s="31">
        <f t="shared" si="10"/>
        <v>0</v>
      </c>
      <c r="W26" s="26">
        <v>0.0</v>
      </c>
      <c r="X26" s="31">
        <f t="shared" si="11"/>
        <v>0</v>
      </c>
      <c r="Y26" s="26">
        <v>985.18091</v>
      </c>
      <c r="Z26" s="31">
        <f t="shared" si="12"/>
        <v>9.067269844</v>
      </c>
      <c r="AA26" s="26">
        <v>0.0</v>
      </c>
      <c r="AB26" s="31">
        <f t="shared" si="13"/>
        <v>0</v>
      </c>
      <c r="AC26" s="26">
        <v>0.0</v>
      </c>
      <c r="AD26" s="31">
        <f t="shared" si="14"/>
        <v>0</v>
      </c>
      <c r="AE26" s="26">
        <v>3291.3957</v>
      </c>
      <c r="AF26" s="31">
        <f t="shared" si="15"/>
        <v>30.29288598</v>
      </c>
      <c r="AG26" s="26">
        <v>0.0</v>
      </c>
      <c r="AH26" s="31">
        <f t="shared" si="16"/>
        <v>0</v>
      </c>
      <c r="AI26" s="26">
        <v>0.0</v>
      </c>
      <c r="AJ26" s="31">
        <f t="shared" si="17"/>
        <v>0</v>
      </c>
    </row>
    <row r="27" ht="15.75" customHeight="1">
      <c r="A27" s="28"/>
      <c r="B27" s="28"/>
      <c r="C27" s="28"/>
      <c r="D27" s="28"/>
      <c r="E27" s="28"/>
      <c r="F27" s="28"/>
      <c r="G27" s="28"/>
      <c r="H27" s="28"/>
      <c r="I27" s="28"/>
      <c r="J27" s="28"/>
      <c r="K27" s="28"/>
      <c r="L27" s="28"/>
      <c r="M27" s="28"/>
      <c r="N27" s="28"/>
      <c r="O27" s="28"/>
      <c r="P27" s="28"/>
      <c r="Q27" s="28"/>
      <c r="R27" s="28"/>
      <c r="S27" s="28"/>
      <c r="T27" s="28"/>
      <c r="U27" s="28"/>
      <c r="V27" s="28"/>
      <c r="W27" s="28"/>
      <c r="X27" s="28"/>
      <c r="Y27" s="28"/>
      <c r="Z27" s="28"/>
      <c r="AA27" s="28"/>
      <c r="AB27" s="28"/>
      <c r="AC27" s="28"/>
      <c r="AD27" s="28"/>
      <c r="AE27" s="28"/>
      <c r="AF27" s="28"/>
      <c r="AG27" s="28"/>
      <c r="AH27" s="28"/>
      <c r="AI27" s="28"/>
      <c r="AJ27" s="28"/>
    </row>
    <row r="28" ht="15.75" customHeight="1">
      <c r="A28" s="8"/>
      <c r="B28" s="9"/>
      <c r="C28" s="9"/>
      <c r="D28" s="9"/>
      <c r="E28" s="9"/>
      <c r="F28" s="9"/>
    </row>
    <row r="29" ht="15.75" customHeight="1">
      <c r="A29" s="10" t="s">
        <v>13</v>
      </c>
      <c r="B29" s="42">
        <v>2024.0</v>
      </c>
      <c r="C29" s="14"/>
      <c r="D29" s="14"/>
      <c r="E29" s="14"/>
      <c r="F29" s="14"/>
      <c r="G29" s="14"/>
      <c r="H29" s="14"/>
      <c r="I29" s="14"/>
      <c r="J29" s="14"/>
      <c r="K29" s="14"/>
      <c r="L29" s="14"/>
      <c r="M29" s="14"/>
      <c r="N29" s="14"/>
      <c r="O29" s="14"/>
      <c r="P29" s="14"/>
      <c r="Q29" s="14"/>
      <c r="R29" s="14"/>
      <c r="S29" s="14"/>
      <c r="T29" s="14"/>
      <c r="U29" s="14"/>
      <c r="V29" s="14"/>
      <c r="W29" s="14"/>
      <c r="X29" s="14"/>
      <c r="Y29" s="14"/>
      <c r="Z29" s="14"/>
      <c r="AA29" s="14"/>
      <c r="AB29" s="14"/>
      <c r="AC29" s="14"/>
      <c r="AD29" s="14"/>
      <c r="AE29" s="14"/>
      <c r="AF29" s="14"/>
      <c r="AG29" s="14"/>
      <c r="AH29" s="14"/>
      <c r="AI29" s="14"/>
      <c r="AJ29" s="15"/>
    </row>
    <row r="30" ht="15.0" customHeight="1">
      <c r="A30" s="17"/>
      <c r="B30" s="21" t="s">
        <v>465</v>
      </c>
      <c r="C30" s="42" t="s">
        <v>466</v>
      </c>
      <c r="D30" s="14"/>
      <c r="E30" s="14"/>
      <c r="F30" s="14"/>
      <c r="G30" s="14"/>
      <c r="H30" s="14"/>
      <c r="I30" s="14"/>
      <c r="J30" s="14"/>
      <c r="K30" s="14"/>
      <c r="L30" s="14"/>
      <c r="M30" s="14"/>
      <c r="N30" s="14"/>
      <c r="O30" s="14"/>
      <c r="P30" s="14"/>
      <c r="Q30" s="14"/>
      <c r="R30" s="14"/>
      <c r="S30" s="14"/>
      <c r="T30" s="14"/>
      <c r="U30" s="14"/>
      <c r="V30" s="14"/>
      <c r="W30" s="14"/>
      <c r="X30" s="14"/>
      <c r="Y30" s="14"/>
      <c r="Z30" s="14"/>
      <c r="AA30" s="14"/>
      <c r="AB30" s="14"/>
      <c r="AC30" s="14"/>
      <c r="AD30" s="14"/>
      <c r="AE30" s="14"/>
      <c r="AF30" s="14"/>
      <c r="AG30" s="14"/>
      <c r="AH30" s="14"/>
      <c r="AI30" s="14"/>
      <c r="AJ30" s="15"/>
    </row>
    <row r="31" ht="36.0" customHeight="1">
      <c r="A31" s="17"/>
      <c r="B31" s="17"/>
      <c r="C31" s="74" t="s">
        <v>467</v>
      </c>
      <c r="D31" s="15"/>
      <c r="E31" s="74" t="s">
        <v>468</v>
      </c>
      <c r="F31" s="15"/>
      <c r="G31" s="74" t="s">
        <v>469</v>
      </c>
      <c r="H31" s="15"/>
      <c r="I31" s="13" t="s">
        <v>470</v>
      </c>
      <c r="J31" s="15"/>
      <c r="K31" s="38" t="s">
        <v>471</v>
      </c>
      <c r="L31" s="15"/>
      <c r="M31" s="38" t="s">
        <v>472</v>
      </c>
      <c r="N31" s="15"/>
      <c r="O31" s="38" t="s">
        <v>473</v>
      </c>
      <c r="P31" s="15"/>
      <c r="Q31" s="38" t="s">
        <v>474</v>
      </c>
      <c r="R31" s="15"/>
      <c r="S31" s="38" t="s">
        <v>475</v>
      </c>
      <c r="T31" s="15"/>
      <c r="U31" s="38" t="s">
        <v>476</v>
      </c>
      <c r="V31" s="15"/>
      <c r="W31" s="38" t="s">
        <v>477</v>
      </c>
      <c r="X31" s="15"/>
      <c r="Y31" s="38" t="s">
        <v>478</v>
      </c>
      <c r="Z31" s="15"/>
      <c r="AA31" s="38" t="s">
        <v>479</v>
      </c>
      <c r="AB31" s="15"/>
      <c r="AC31" s="38" t="s">
        <v>480</v>
      </c>
      <c r="AD31" s="15"/>
      <c r="AE31" s="38" t="s">
        <v>481</v>
      </c>
      <c r="AF31" s="15"/>
      <c r="AG31" s="38" t="s">
        <v>482</v>
      </c>
      <c r="AH31" s="15"/>
      <c r="AI31" s="38" t="s">
        <v>170</v>
      </c>
      <c r="AJ31" s="15"/>
    </row>
    <row r="32" ht="36.0" customHeight="1">
      <c r="A32" s="18"/>
      <c r="B32" s="18"/>
      <c r="C32" s="24" t="s">
        <v>37</v>
      </c>
      <c r="D32" s="24" t="s">
        <v>39</v>
      </c>
      <c r="E32" s="24" t="s">
        <v>37</v>
      </c>
      <c r="F32" s="24" t="s">
        <v>39</v>
      </c>
      <c r="G32" s="24" t="s">
        <v>37</v>
      </c>
      <c r="H32" s="24" t="s">
        <v>39</v>
      </c>
      <c r="I32" s="24" t="s">
        <v>37</v>
      </c>
      <c r="J32" s="24" t="s">
        <v>39</v>
      </c>
      <c r="K32" s="24" t="s">
        <v>37</v>
      </c>
      <c r="L32" s="24" t="s">
        <v>39</v>
      </c>
      <c r="M32" s="24" t="s">
        <v>37</v>
      </c>
      <c r="N32" s="24" t="s">
        <v>39</v>
      </c>
      <c r="O32" s="24" t="s">
        <v>37</v>
      </c>
      <c r="P32" s="24" t="s">
        <v>39</v>
      </c>
      <c r="Q32" s="24" t="s">
        <v>37</v>
      </c>
      <c r="R32" s="24" t="s">
        <v>39</v>
      </c>
      <c r="S32" s="24" t="s">
        <v>37</v>
      </c>
      <c r="T32" s="24" t="s">
        <v>39</v>
      </c>
      <c r="U32" s="24" t="s">
        <v>37</v>
      </c>
      <c r="V32" s="24" t="s">
        <v>39</v>
      </c>
      <c r="W32" s="24" t="s">
        <v>37</v>
      </c>
      <c r="X32" s="24" t="s">
        <v>39</v>
      </c>
      <c r="Y32" s="24" t="s">
        <v>37</v>
      </c>
      <c r="Z32" s="24" t="s">
        <v>39</v>
      </c>
      <c r="AA32" s="24" t="s">
        <v>37</v>
      </c>
      <c r="AB32" s="24" t="s">
        <v>39</v>
      </c>
      <c r="AC32" s="24" t="s">
        <v>37</v>
      </c>
      <c r="AD32" s="24" t="s">
        <v>39</v>
      </c>
      <c r="AE32" s="24" t="s">
        <v>37</v>
      </c>
      <c r="AF32" s="24" t="s">
        <v>39</v>
      </c>
      <c r="AG32" s="24" t="s">
        <v>37</v>
      </c>
      <c r="AH32" s="24" t="s">
        <v>39</v>
      </c>
      <c r="AI32" s="24" t="s">
        <v>37</v>
      </c>
      <c r="AJ32" s="24" t="s">
        <v>39</v>
      </c>
    </row>
    <row r="33" ht="15.75" customHeight="1">
      <c r="A33" s="16"/>
      <c r="B33" s="20"/>
      <c r="C33" s="20"/>
      <c r="D33" s="20"/>
      <c r="E33" s="20"/>
      <c r="F33" s="20"/>
      <c r="G33" s="20"/>
      <c r="H33" s="20"/>
      <c r="I33" s="20"/>
      <c r="J33" s="20"/>
      <c r="K33" s="20"/>
      <c r="L33" s="20"/>
      <c r="M33" s="20"/>
      <c r="N33" s="20"/>
      <c r="O33" s="20"/>
      <c r="P33" s="20"/>
      <c r="Q33" s="20"/>
      <c r="R33" s="20"/>
      <c r="S33" s="20"/>
      <c r="T33" s="20"/>
      <c r="U33" s="20"/>
      <c r="V33" s="20"/>
      <c r="W33" s="20"/>
      <c r="X33" s="20"/>
      <c r="Y33" s="20"/>
      <c r="Z33" s="20"/>
      <c r="AA33" s="20"/>
      <c r="AB33" s="20"/>
      <c r="AC33" s="20"/>
      <c r="AD33" s="20"/>
      <c r="AE33" s="20"/>
      <c r="AF33" s="20"/>
      <c r="AG33" s="20"/>
      <c r="AH33" s="20"/>
      <c r="AI33" s="20"/>
      <c r="AJ33" s="20"/>
    </row>
    <row r="34" ht="15.75" customHeight="1">
      <c r="A34" s="22" t="s">
        <v>33</v>
      </c>
      <c r="B34" s="23">
        <v>8661536.0</v>
      </c>
      <c r="C34" s="23">
        <v>781384.1726064202</v>
      </c>
      <c r="D34" s="27">
        <f t="shared" ref="D34:D51" si="18">C34/$B34*100</f>
        <v>9.021311839</v>
      </c>
      <c r="E34" s="23">
        <v>3461634.2493852032</v>
      </c>
      <c r="F34" s="27">
        <f t="shared" ref="F34:F51" si="19">E34/$B34*100</f>
        <v>39.96559328</v>
      </c>
      <c r="G34" s="23">
        <v>3685130.5956983934</v>
      </c>
      <c r="H34" s="27">
        <f t="shared" ref="H34:H51" si="20">G34/$B34*100</f>
        <v>42.54592483</v>
      </c>
      <c r="I34" s="23">
        <v>870100.2795398999</v>
      </c>
      <c r="J34" s="27">
        <f t="shared" ref="J34:J51" si="21">I34/$B34*100</f>
        <v>10.04556558</v>
      </c>
      <c r="K34" s="23">
        <v>1383630.0523663906</v>
      </c>
      <c r="L34" s="27">
        <f t="shared" ref="L34:L51" si="22">K34/$B34*100</f>
        <v>15.974419</v>
      </c>
      <c r="M34" s="23">
        <v>643191.7752677302</v>
      </c>
      <c r="N34" s="27">
        <f t="shared" ref="N34:N51" si="23">M34/$B34*100</f>
        <v>7.425839658</v>
      </c>
      <c r="O34" s="23">
        <v>1530352.844602529</v>
      </c>
      <c r="P34" s="27">
        <f t="shared" ref="P34:P51" si="24">O34/$B34*100</f>
        <v>17.66837712</v>
      </c>
      <c r="Q34" s="23">
        <v>859863.8056629603</v>
      </c>
      <c r="R34" s="27">
        <f t="shared" ref="R34:R51" si="25">Q34/$B34*100</f>
        <v>9.92738246</v>
      </c>
      <c r="S34" s="23">
        <v>708022.7764883502</v>
      </c>
      <c r="T34" s="27">
        <f t="shared" ref="T34:T51" si="26">S34/$B34*100</f>
        <v>8.17433278</v>
      </c>
      <c r="U34" s="23">
        <v>484526.43017516006</v>
      </c>
      <c r="V34" s="27">
        <f t="shared" ref="V34:V51" si="27">U34/$B34*100</f>
        <v>5.594001228</v>
      </c>
      <c r="W34" s="23">
        <v>936637.3597400105</v>
      </c>
      <c r="X34" s="27">
        <f t="shared" ref="X34:X51" si="28">W34/$B34*100</f>
        <v>10.81375589</v>
      </c>
      <c r="Y34" s="23">
        <v>859863.8056629603</v>
      </c>
      <c r="Z34" s="27">
        <f t="shared" ref="Z34:Z51" si="29">Y34/$B34*100</f>
        <v>9.92738246</v>
      </c>
      <c r="AA34" s="23">
        <v>878630.6744373501</v>
      </c>
      <c r="AB34" s="27">
        <f t="shared" ref="AB34:AB51" si="30">AA34/$B34*100</f>
        <v>10.14405152</v>
      </c>
      <c r="AC34" s="23">
        <v>406046.79711861996</v>
      </c>
      <c r="AD34" s="27">
        <f t="shared" ref="AD34:AD51" si="31">AC34/$B34*100</f>
        <v>4.687930606</v>
      </c>
      <c r="AE34" s="23">
        <v>1892041.5882544063</v>
      </c>
      <c r="AF34" s="27">
        <f t="shared" ref="AF34:AF51" si="32">AE34/$B34*100</f>
        <v>21.84418085</v>
      </c>
      <c r="AG34" s="23">
        <v>670489.0389395701</v>
      </c>
      <c r="AH34" s="27">
        <f t="shared" ref="AH34:AH51" si="33">AG34/$B34*100</f>
        <v>7.740994657</v>
      </c>
      <c r="AI34" s="23">
        <v>63124.92224113</v>
      </c>
      <c r="AJ34" s="27">
        <f t="shared" ref="AJ34:AJ51" si="34">AI34/$B34*100</f>
        <v>0.7287959346</v>
      </c>
    </row>
    <row r="35" ht="15.75" customHeight="1">
      <c r="A35" s="25" t="s">
        <v>38</v>
      </c>
      <c r="B35" s="26">
        <v>1808842.0</v>
      </c>
      <c r="C35" s="26">
        <v>153547.1081541002</v>
      </c>
      <c r="D35" s="31">
        <f t="shared" si="18"/>
        <v>8.488696534</v>
      </c>
      <c r="E35" s="26">
        <v>922988.7279040811</v>
      </c>
      <c r="F35" s="31">
        <f t="shared" si="19"/>
        <v>51.02649805</v>
      </c>
      <c r="G35" s="26">
        <v>998056.20300164</v>
      </c>
      <c r="H35" s="31">
        <f t="shared" si="20"/>
        <v>55.17652747</v>
      </c>
      <c r="I35" s="26">
        <v>88716.10693348003</v>
      </c>
      <c r="J35" s="31">
        <f t="shared" si="21"/>
        <v>4.904580219</v>
      </c>
      <c r="K35" s="26">
        <v>170607.89794900024</v>
      </c>
      <c r="L35" s="31">
        <f t="shared" si="22"/>
        <v>9.431885037</v>
      </c>
      <c r="M35" s="26">
        <v>109189.05468736008</v>
      </c>
      <c r="N35" s="31">
        <f t="shared" si="23"/>
        <v>6.036406424</v>
      </c>
      <c r="O35" s="26">
        <v>375337.3754877989</v>
      </c>
      <c r="P35" s="31">
        <f t="shared" si="24"/>
        <v>20.75014708</v>
      </c>
      <c r="Q35" s="26">
        <v>208141.63549778034</v>
      </c>
      <c r="R35" s="31">
        <f t="shared" si="25"/>
        <v>11.50689975</v>
      </c>
      <c r="S35" s="26">
        <v>172313.97692849024</v>
      </c>
      <c r="T35" s="31">
        <f t="shared" si="26"/>
        <v>9.526203888</v>
      </c>
      <c r="U35" s="26">
        <v>76773.55407705</v>
      </c>
      <c r="V35" s="31">
        <f t="shared" si="27"/>
        <v>4.244348267</v>
      </c>
      <c r="W35" s="26">
        <v>230320.6622311504</v>
      </c>
      <c r="X35" s="31">
        <f t="shared" si="28"/>
        <v>12.7330448</v>
      </c>
      <c r="Y35" s="26">
        <v>218378.10937472037</v>
      </c>
      <c r="Z35" s="31">
        <f t="shared" si="29"/>
        <v>12.07281285</v>
      </c>
      <c r="AA35" s="26">
        <v>143310.63427716016</v>
      </c>
      <c r="AB35" s="31">
        <f t="shared" si="30"/>
        <v>7.922783431</v>
      </c>
      <c r="AC35" s="26">
        <v>76773.55407705</v>
      </c>
      <c r="AD35" s="31">
        <f t="shared" si="31"/>
        <v>4.244348267</v>
      </c>
      <c r="AE35" s="26">
        <v>580066.853026596</v>
      </c>
      <c r="AF35" s="31">
        <f t="shared" si="32"/>
        <v>32.06840913</v>
      </c>
      <c r="AG35" s="26">
        <v>139898.47631818015</v>
      </c>
      <c r="AH35" s="31">
        <f t="shared" si="33"/>
        <v>7.734145731</v>
      </c>
      <c r="AI35" s="26">
        <v>3412.15795898</v>
      </c>
      <c r="AJ35" s="31">
        <f t="shared" si="34"/>
        <v>0.1886377007</v>
      </c>
    </row>
    <row r="36" ht="15.75" customHeight="1">
      <c r="A36" s="25" t="s">
        <v>41</v>
      </c>
      <c r="B36" s="26">
        <v>153829.0</v>
      </c>
      <c r="C36" s="26">
        <v>121131.60754379012</v>
      </c>
      <c r="D36" s="31">
        <f t="shared" si="18"/>
        <v>78.7443249</v>
      </c>
      <c r="E36" s="26">
        <v>249087.53100554046</v>
      </c>
      <c r="F36" s="31">
        <f t="shared" si="19"/>
        <v>161.9249498</v>
      </c>
      <c r="G36" s="26">
        <v>232026.7412106404</v>
      </c>
      <c r="H36" s="31">
        <f t="shared" si="20"/>
        <v>150.8341998</v>
      </c>
      <c r="I36" s="26">
        <v>124543.76550277013</v>
      </c>
      <c r="J36" s="31">
        <f t="shared" si="21"/>
        <v>80.96247489</v>
      </c>
      <c r="K36" s="26">
        <v>110895.13366685009</v>
      </c>
      <c r="L36" s="31">
        <f t="shared" si="22"/>
        <v>72.0898749</v>
      </c>
      <c r="M36" s="26">
        <v>64831.00122061996</v>
      </c>
      <c r="N36" s="31">
        <f t="shared" si="23"/>
        <v>42.14484994</v>
      </c>
      <c r="O36" s="26">
        <v>121131.60754379012</v>
      </c>
      <c r="P36" s="31">
        <f t="shared" si="24"/>
        <v>78.7443249</v>
      </c>
      <c r="Q36" s="26">
        <v>42651.974487249994</v>
      </c>
      <c r="R36" s="31">
        <f t="shared" si="25"/>
        <v>27.72687496</v>
      </c>
      <c r="S36" s="26">
        <v>61418.843261639966</v>
      </c>
      <c r="T36" s="31">
        <f t="shared" si="26"/>
        <v>39.92669995</v>
      </c>
      <c r="U36" s="26">
        <v>64831.00122061996</v>
      </c>
      <c r="V36" s="31">
        <f t="shared" si="27"/>
        <v>42.14484994</v>
      </c>
      <c r="W36" s="26">
        <v>92128.26489246004</v>
      </c>
      <c r="X36" s="31">
        <f t="shared" si="28"/>
        <v>59.89004992</v>
      </c>
      <c r="Y36" s="26">
        <v>59712.76428214997</v>
      </c>
      <c r="Z36" s="31">
        <f t="shared" si="29"/>
        <v>38.81762495</v>
      </c>
      <c r="AA36" s="26">
        <v>51182.36938469998</v>
      </c>
      <c r="AB36" s="31">
        <f t="shared" si="30"/>
        <v>33.27224996</v>
      </c>
      <c r="AC36" s="26">
        <v>80185.71203603</v>
      </c>
      <c r="AD36" s="31">
        <f t="shared" si="31"/>
        <v>52.12652493</v>
      </c>
      <c r="AE36" s="26">
        <v>155253.1871335902</v>
      </c>
      <c r="AF36" s="31">
        <f t="shared" si="32"/>
        <v>100.9258249</v>
      </c>
      <c r="AG36" s="26">
        <v>42651.974487249994</v>
      </c>
      <c r="AH36" s="31">
        <f t="shared" si="33"/>
        <v>27.72687496</v>
      </c>
      <c r="AI36" s="26">
        <v>0.0</v>
      </c>
      <c r="AJ36" s="31">
        <f t="shared" si="34"/>
        <v>0</v>
      </c>
    </row>
    <row r="37" ht="15.75" customHeight="1">
      <c r="A37" s="25" t="s">
        <v>43</v>
      </c>
      <c r="B37" s="26">
        <v>363544.0</v>
      </c>
      <c r="C37" s="26">
        <v>25591.18469235</v>
      </c>
      <c r="D37" s="31">
        <f t="shared" si="18"/>
        <v>7.039363789</v>
      </c>
      <c r="E37" s="26">
        <v>148428.87121563018</v>
      </c>
      <c r="F37" s="31">
        <f t="shared" si="19"/>
        <v>40.82830998</v>
      </c>
      <c r="G37" s="26">
        <v>116013.3706053201</v>
      </c>
      <c r="H37" s="31">
        <f t="shared" si="20"/>
        <v>31.91178251</v>
      </c>
      <c r="I37" s="26">
        <v>40945.89550776</v>
      </c>
      <c r="J37" s="31">
        <f t="shared" si="21"/>
        <v>11.26298206</v>
      </c>
      <c r="K37" s="26">
        <v>42651.974487249994</v>
      </c>
      <c r="L37" s="31">
        <f t="shared" si="22"/>
        <v>11.73227298</v>
      </c>
      <c r="M37" s="26">
        <v>11942.552856429998</v>
      </c>
      <c r="N37" s="31">
        <f t="shared" si="23"/>
        <v>3.285036435</v>
      </c>
      <c r="O37" s="26">
        <v>63124.92224112996</v>
      </c>
      <c r="P37" s="31">
        <f t="shared" si="24"/>
        <v>17.36376401</v>
      </c>
      <c r="Q37" s="26">
        <v>18766.868774389997</v>
      </c>
      <c r="R37" s="31">
        <f t="shared" si="25"/>
        <v>5.162200112</v>
      </c>
      <c r="S37" s="26">
        <v>13648.631835919998</v>
      </c>
      <c r="T37" s="31">
        <f t="shared" si="26"/>
        <v>3.754327354</v>
      </c>
      <c r="U37" s="26">
        <v>8530.39489745</v>
      </c>
      <c r="V37" s="31">
        <f t="shared" si="27"/>
        <v>2.346454596</v>
      </c>
      <c r="W37" s="26">
        <v>34121.57958980001</v>
      </c>
      <c r="X37" s="31">
        <f t="shared" si="28"/>
        <v>9.385818385</v>
      </c>
      <c r="Y37" s="26">
        <v>23885.10571286</v>
      </c>
      <c r="Z37" s="31">
        <f t="shared" si="29"/>
        <v>6.57007287</v>
      </c>
      <c r="AA37" s="26">
        <v>29003.342651330004</v>
      </c>
      <c r="AB37" s="31">
        <f t="shared" si="30"/>
        <v>7.977945627</v>
      </c>
      <c r="AC37" s="26">
        <v>5118.23693847</v>
      </c>
      <c r="AD37" s="31">
        <f t="shared" si="31"/>
        <v>1.407872758</v>
      </c>
      <c r="AE37" s="26">
        <v>71655.31713857998</v>
      </c>
      <c r="AF37" s="31">
        <f t="shared" si="32"/>
        <v>19.71021861</v>
      </c>
      <c r="AG37" s="26">
        <v>11942.552856429998</v>
      </c>
      <c r="AH37" s="31">
        <f t="shared" si="33"/>
        <v>3.285036435</v>
      </c>
      <c r="AI37" s="26">
        <v>1706.07897949</v>
      </c>
      <c r="AJ37" s="31">
        <f t="shared" si="34"/>
        <v>0.4692909193</v>
      </c>
    </row>
    <row r="38" ht="15.75" customHeight="1">
      <c r="A38" s="25" t="s">
        <v>44</v>
      </c>
      <c r="B38" s="26">
        <v>349045.0</v>
      </c>
      <c r="C38" s="26">
        <v>34121.57958980001</v>
      </c>
      <c r="D38" s="31">
        <f t="shared" si="18"/>
        <v>9.775696426</v>
      </c>
      <c r="E38" s="26">
        <v>148428.87121563018</v>
      </c>
      <c r="F38" s="31">
        <f t="shared" si="19"/>
        <v>42.52427945</v>
      </c>
      <c r="G38" s="26">
        <v>122837.68652328012</v>
      </c>
      <c r="H38" s="31">
        <f t="shared" si="20"/>
        <v>35.19250713</v>
      </c>
      <c r="I38" s="26">
        <v>61418.843261639966</v>
      </c>
      <c r="J38" s="31">
        <f t="shared" si="21"/>
        <v>17.59625357</v>
      </c>
      <c r="K38" s="26">
        <v>107482.97570787008</v>
      </c>
      <c r="L38" s="31">
        <f t="shared" si="22"/>
        <v>30.79344374</v>
      </c>
      <c r="M38" s="26">
        <v>54594.527343679976</v>
      </c>
      <c r="N38" s="31">
        <f t="shared" si="23"/>
        <v>15.64111428</v>
      </c>
      <c r="O38" s="26">
        <v>58006.68530265997</v>
      </c>
      <c r="P38" s="31">
        <f t="shared" si="24"/>
        <v>16.61868392</v>
      </c>
      <c r="Q38" s="26">
        <v>22179.02673337</v>
      </c>
      <c r="R38" s="31">
        <f t="shared" si="25"/>
        <v>6.354202677</v>
      </c>
      <c r="S38" s="26">
        <v>32415.500610310006</v>
      </c>
      <c r="T38" s="31">
        <f t="shared" si="26"/>
        <v>9.286911605</v>
      </c>
      <c r="U38" s="26">
        <v>30709.421630820005</v>
      </c>
      <c r="V38" s="31">
        <f t="shared" si="27"/>
        <v>8.798126783</v>
      </c>
      <c r="W38" s="26">
        <v>42651.974487249994</v>
      </c>
      <c r="X38" s="31">
        <f t="shared" si="28"/>
        <v>12.21962053</v>
      </c>
      <c r="Y38" s="26">
        <v>54594.527343679976</v>
      </c>
      <c r="Z38" s="31">
        <f t="shared" si="29"/>
        <v>15.64111428</v>
      </c>
      <c r="AA38" s="26">
        <v>47770.21142571999</v>
      </c>
      <c r="AB38" s="31">
        <f t="shared" si="30"/>
        <v>13.685975</v>
      </c>
      <c r="AC38" s="26">
        <v>27297.263671840003</v>
      </c>
      <c r="AD38" s="31">
        <f t="shared" si="31"/>
        <v>7.820557141</v>
      </c>
      <c r="AE38" s="26">
        <v>107482.97570787008</v>
      </c>
      <c r="AF38" s="31">
        <f t="shared" si="32"/>
        <v>30.79344374</v>
      </c>
      <c r="AG38" s="26">
        <v>23885.10571286</v>
      </c>
      <c r="AH38" s="31">
        <f t="shared" si="33"/>
        <v>6.842987498</v>
      </c>
      <c r="AI38" s="26">
        <v>1706.07897949</v>
      </c>
      <c r="AJ38" s="31">
        <f t="shared" si="34"/>
        <v>0.4887848213</v>
      </c>
    </row>
    <row r="39" ht="15.75" customHeight="1">
      <c r="A39" s="25" t="s">
        <v>46</v>
      </c>
      <c r="B39" s="26">
        <v>1070586.0</v>
      </c>
      <c r="C39" s="26">
        <v>63124.92224112996</v>
      </c>
      <c r="D39" s="31">
        <f t="shared" si="18"/>
        <v>5.896296257</v>
      </c>
      <c r="E39" s="26">
        <v>337803.6379390194</v>
      </c>
      <c r="F39" s="31">
        <f t="shared" si="19"/>
        <v>31.55315294</v>
      </c>
      <c r="G39" s="26">
        <v>319036.7691646297</v>
      </c>
      <c r="H39" s="31">
        <f t="shared" si="20"/>
        <v>29.8002</v>
      </c>
      <c r="I39" s="26">
        <v>47770.21142571999</v>
      </c>
      <c r="J39" s="31">
        <f t="shared" si="21"/>
        <v>4.462062032</v>
      </c>
      <c r="K39" s="26">
        <v>119425.52856430011</v>
      </c>
      <c r="L39" s="31">
        <f t="shared" si="22"/>
        <v>11.15515508</v>
      </c>
      <c r="M39" s="26">
        <v>39239.81652827</v>
      </c>
      <c r="N39" s="31">
        <f t="shared" si="23"/>
        <v>3.665265241</v>
      </c>
      <c r="O39" s="26">
        <v>129662.00244124014</v>
      </c>
      <c r="P39" s="31">
        <f t="shared" si="24"/>
        <v>12.11131123</v>
      </c>
      <c r="Q39" s="26">
        <v>90422.18591297003</v>
      </c>
      <c r="R39" s="31">
        <f t="shared" si="25"/>
        <v>8.446045989</v>
      </c>
      <c r="S39" s="26">
        <v>85303.94897450002</v>
      </c>
      <c r="T39" s="31">
        <f t="shared" si="26"/>
        <v>7.967967914</v>
      </c>
      <c r="U39" s="26">
        <v>27297.263671840003</v>
      </c>
      <c r="V39" s="31">
        <f t="shared" si="27"/>
        <v>2.549749733</v>
      </c>
      <c r="W39" s="26">
        <v>116013.3706053201</v>
      </c>
      <c r="X39" s="31">
        <f t="shared" si="28"/>
        <v>10.83643636</v>
      </c>
      <c r="Y39" s="26">
        <v>98952.58081042006</v>
      </c>
      <c r="Z39" s="31">
        <f t="shared" si="29"/>
        <v>9.242842781</v>
      </c>
      <c r="AA39" s="26">
        <v>69949.23815908997</v>
      </c>
      <c r="AB39" s="31">
        <f t="shared" si="30"/>
        <v>6.53373369</v>
      </c>
      <c r="AC39" s="26">
        <v>32415.500610310006</v>
      </c>
      <c r="AD39" s="31">
        <f t="shared" si="31"/>
        <v>3.027827807</v>
      </c>
      <c r="AE39" s="26">
        <v>175726.13488747025</v>
      </c>
      <c r="AF39" s="31">
        <f t="shared" si="32"/>
        <v>16.4140139</v>
      </c>
      <c r="AG39" s="26">
        <v>93834.34387195004</v>
      </c>
      <c r="AH39" s="31">
        <f t="shared" si="33"/>
        <v>8.764764706</v>
      </c>
      <c r="AI39" s="26">
        <v>6824.31591796</v>
      </c>
      <c r="AJ39" s="31">
        <f t="shared" si="34"/>
        <v>0.6374374331</v>
      </c>
    </row>
    <row r="40" ht="15.75" customHeight="1">
      <c r="A40" s="25" t="s">
        <v>48</v>
      </c>
      <c r="B40" s="26">
        <v>1412941.0</v>
      </c>
      <c r="C40" s="26">
        <v>46064.13244622999</v>
      </c>
      <c r="D40" s="31">
        <f t="shared" si="18"/>
        <v>3.260159656</v>
      </c>
      <c r="E40" s="26">
        <v>192786.9246823703</v>
      </c>
      <c r="F40" s="31">
        <f t="shared" si="19"/>
        <v>13.64437189</v>
      </c>
      <c r="G40" s="26">
        <v>213259.87243625036</v>
      </c>
      <c r="H40" s="31">
        <f t="shared" si="20"/>
        <v>15.09333174</v>
      </c>
      <c r="I40" s="26">
        <v>44358.05346673999</v>
      </c>
      <c r="J40" s="31">
        <f t="shared" si="21"/>
        <v>3.139413002</v>
      </c>
      <c r="K40" s="26">
        <v>68243.15917959997</v>
      </c>
      <c r="L40" s="31">
        <f t="shared" si="22"/>
        <v>4.829866157</v>
      </c>
      <c r="M40" s="26">
        <v>35827.658569290004</v>
      </c>
      <c r="N40" s="31">
        <f t="shared" si="23"/>
        <v>2.535679733</v>
      </c>
      <c r="O40" s="26">
        <v>105776.89672838007</v>
      </c>
      <c r="P40" s="31">
        <f t="shared" si="24"/>
        <v>7.486292544</v>
      </c>
      <c r="Q40" s="26">
        <v>80185.71203603</v>
      </c>
      <c r="R40" s="31">
        <f t="shared" si="25"/>
        <v>5.675092735</v>
      </c>
      <c r="S40" s="26">
        <v>54594.527343679976</v>
      </c>
      <c r="T40" s="31">
        <f t="shared" si="26"/>
        <v>3.863892926</v>
      </c>
      <c r="U40" s="26">
        <v>29003.342651330004</v>
      </c>
      <c r="V40" s="31">
        <f t="shared" si="27"/>
        <v>2.052693117</v>
      </c>
      <c r="W40" s="26">
        <v>59712.76428214997</v>
      </c>
      <c r="X40" s="31">
        <f t="shared" si="28"/>
        <v>4.226132888</v>
      </c>
      <c r="Y40" s="26">
        <v>69949.23815908997</v>
      </c>
      <c r="Z40" s="31">
        <f t="shared" si="29"/>
        <v>4.950612811</v>
      </c>
      <c r="AA40" s="26">
        <v>73361.39611806998</v>
      </c>
      <c r="AB40" s="31">
        <f t="shared" si="30"/>
        <v>5.192106119</v>
      </c>
      <c r="AC40" s="26">
        <v>22179.02673337</v>
      </c>
      <c r="AD40" s="31">
        <f t="shared" si="31"/>
        <v>1.569706501</v>
      </c>
      <c r="AE40" s="26">
        <v>68243.15917959997</v>
      </c>
      <c r="AF40" s="31">
        <f t="shared" si="32"/>
        <v>4.829866157</v>
      </c>
      <c r="AG40" s="26">
        <v>37533.73754878</v>
      </c>
      <c r="AH40" s="31">
        <f t="shared" si="33"/>
        <v>2.656426386</v>
      </c>
      <c r="AI40" s="26">
        <v>1706.07897949</v>
      </c>
      <c r="AJ40" s="31">
        <f t="shared" si="34"/>
        <v>0.1207466539</v>
      </c>
    </row>
    <row r="41" ht="15.75" customHeight="1">
      <c r="A41" s="25" t="s">
        <v>50</v>
      </c>
      <c r="B41" s="26">
        <v>199199.0</v>
      </c>
      <c r="C41" s="26">
        <v>47770.21142571999</v>
      </c>
      <c r="D41" s="31">
        <f t="shared" si="18"/>
        <v>23.98115022</v>
      </c>
      <c r="E41" s="26">
        <v>145016.71325665017</v>
      </c>
      <c r="F41" s="31">
        <f t="shared" si="19"/>
        <v>72.79992031</v>
      </c>
      <c r="G41" s="26">
        <v>158665.3450925702</v>
      </c>
      <c r="H41" s="31">
        <f t="shared" si="20"/>
        <v>79.65167751</v>
      </c>
      <c r="I41" s="26">
        <v>52888.44836418998</v>
      </c>
      <c r="J41" s="31">
        <f t="shared" si="21"/>
        <v>26.55055917</v>
      </c>
      <c r="K41" s="26">
        <v>85303.94897450002</v>
      </c>
      <c r="L41" s="31">
        <f t="shared" si="22"/>
        <v>42.82348253</v>
      </c>
      <c r="M41" s="26">
        <v>30709.421630820005</v>
      </c>
      <c r="N41" s="31">
        <f t="shared" si="23"/>
        <v>15.41645371</v>
      </c>
      <c r="O41" s="26">
        <v>52888.44836418998</v>
      </c>
      <c r="P41" s="31">
        <f t="shared" si="24"/>
        <v>26.55055917</v>
      </c>
      <c r="Q41" s="26">
        <v>20472.94775388</v>
      </c>
      <c r="R41" s="31">
        <f t="shared" si="25"/>
        <v>10.27763581</v>
      </c>
      <c r="S41" s="26">
        <v>35827.658569290004</v>
      </c>
      <c r="T41" s="31">
        <f t="shared" si="26"/>
        <v>17.98586266</v>
      </c>
      <c r="U41" s="26">
        <v>17060.789794899996</v>
      </c>
      <c r="V41" s="31">
        <f t="shared" si="27"/>
        <v>8.564696507</v>
      </c>
      <c r="W41" s="26">
        <v>66537.08020010997</v>
      </c>
      <c r="X41" s="31">
        <f t="shared" si="28"/>
        <v>33.40231638</v>
      </c>
      <c r="Y41" s="26">
        <v>46064.13244622999</v>
      </c>
      <c r="Z41" s="31">
        <f t="shared" si="29"/>
        <v>23.12468057</v>
      </c>
      <c r="AA41" s="26">
        <v>66537.08020010997</v>
      </c>
      <c r="AB41" s="31">
        <f t="shared" si="30"/>
        <v>33.40231638</v>
      </c>
      <c r="AC41" s="26">
        <v>8530.39489745</v>
      </c>
      <c r="AD41" s="31">
        <f t="shared" si="31"/>
        <v>4.282348253</v>
      </c>
      <c r="AE41" s="26">
        <v>87010.02795399002</v>
      </c>
      <c r="AF41" s="31">
        <f t="shared" si="32"/>
        <v>43.67995219</v>
      </c>
      <c r="AG41" s="26">
        <v>17060.789794899996</v>
      </c>
      <c r="AH41" s="31">
        <f t="shared" si="33"/>
        <v>8.564696507</v>
      </c>
      <c r="AI41" s="26">
        <v>3412.15795898</v>
      </c>
      <c r="AJ41" s="31">
        <f t="shared" si="34"/>
        <v>1.712939301</v>
      </c>
    </row>
    <row r="42" ht="15.75" customHeight="1">
      <c r="A42" s="25" t="s">
        <v>51</v>
      </c>
      <c r="B42" s="26">
        <v>473624.0</v>
      </c>
      <c r="C42" s="26">
        <v>56300.60632316997</v>
      </c>
      <c r="D42" s="31">
        <f t="shared" si="18"/>
        <v>11.88719455</v>
      </c>
      <c r="E42" s="26">
        <v>148428.87121563018</v>
      </c>
      <c r="F42" s="31">
        <f t="shared" si="19"/>
        <v>31.33896745</v>
      </c>
      <c r="G42" s="26">
        <v>153547.1081541002</v>
      </c>
      <c r="H42" s="31">
        <f t="shared" si="20"/>
        <v>32.4196215</v>
      </c>
      <c r="I42" s="26">
        <v>73361.39611806998</v>
      </c>
      <c r="J42" s="31">
        <f t="shared" si="21"/>
        <v>15.48937472</v>
      </c>
      <c r="K42" s="26">
        <v>119425.52856430011</v>
      </c>
      <c r="L42" s="31">
        <f t="shared" si="22"/>
        <v>25.21526117</v>
      </c>
      <c r="M42" s="26">
        <v>35827.658569290004</v>
      </c>
      <c r="N42" s="31">
        <f t="shared" si="23"/>
        <v>7.564578351</v>
      </c>
      <c r="O42" s="26">
        <v>69949.23815908997</v>
      </c>
      <c r="P42" s="31">
        <f t="shared" si="24"/>
        <v>14.76893869</v>
      </c>
      <c r="Q42" s="26">
        <v>37533.73754878</v>
      </c>
      <c r="R42" s="31">
        <f t="shared" si="25"/>
        <v>7.924796368</v>
      </c>
      <c r="S42" s="26">
        <v>13648.631835919998</v>
      </c>
      <c r="T42" s="31">
        <f t="shared" si="26"/>
        <v>2.881744134</v>
      </c>
      <c r="U42" s="26">
        <v>40945.89550776</v>
      </c>
      <c r="V42" s="31">
        <f t="shared" si="27"/>
        <v>8.645232401</v>
      </c>
      <c r="W42" s="26">
        <v>46064.13244622999</v>
      </c>
      <c r="X42" s="31">
        <f t="shared" si="28"/>
        <v>9.725886451</v>
      </c>
      <c r="Y42" s="26">
        <v>35827.658569290004</v>
      </c>
      <c r="Z42" s="31">
        <f t="shared" si="29"/>
        <v>7.564578351</v>
      </c>
      <c r="AA42" s="26">
        <v>61418.843261639966</v>
      </c>
      <c r="AB42" s="31">
        <f t="shared" si="30"/>
        <v>12.9678486</v>
      </c>
      <c r="AC42" s="26">
        <v>42651.974487249994</v>
      </c>
      <c r="AD42" s="31">
        <f t="shared" si="31"/>
        <v>9.005450418</v>
      </c>
      <c r="AE42" s="26">
        <v>122837.68652328012</v>
      </c>
      <c r="AF42" s="31">
        <f t="shared" si="32"/>
        <v>25.9356972</v>
      </c>
      <c r="AG42" s="26">
        <v>47770.21142571999</v>
      </c>
      <c r="AH42" s="31">
        <f t="shared" si="33"/>
        <v>10.08610447</v>
      </c>
      <c r="AI42" s="26">
        <v>3412.15795898</v>
      </c>
      <c r="AJ42" s="31">
        <f t="shared" si="34"/>
        <v>0.7204360334</v>
      </c>
    </row>
    <row r="43" ht="15.75" customHeight="1">
      <c r="A43" s="25" t="s">
        <v>53</v>
      </c>
      <c r="B43" s="26">
        <v>538039.0</v>
      </c>
      <c r="C43" s="26">
        <v>30709.421630820005</v>
      </c>
      <c r="D43" s="31">
        <f t="shared" si="18"/>
        <v>5.707657183</v>
      </c>
      <c r="E43" s="26">
        <v>155253.1871335902</v>
      </c>
      <c r="F43" s="31">
        <f t="shared" si="19"/>
        <v>28.85537798</v>
      </c>
      <c r="G43" s="26">
        <v>252499.68896452046</v>
      </c>
      <c r="H43" s="31">
        <f t="shared" si="20"/>
        <v>46.92962573</v>
      </c>
      <c r="I43" s="26">
        <v>20472.94775388</v>
      </c>
      <c r="J43" s="31">
        <f t="shared" si="21"/>
        <v>3.805104789</v>
      </c>
      <c r="K43" s="26">
        <v>83597.86999501001</v>
      </c>
      <c r="L43" s="31">
        <f t="shared" si="22"/>
        <v>15.53751122</v>
      </c>
      <c r="M43" s="26">
        <v>49476.290405209984</v>
      </c>
      <c r="N43" s="31">
        <f t="shared" si="23"/>
        <v>9.195669906</v>
      </c>
      <c r="O43" s="26">
        <v>98952.58081042006</v>
      </c>
      <c r="P43" s="31">
        <f t="shared" si="24"/>
        <v>18.39133981</v>
      </c>
      <c r="Q43" s="26">
        <v>83597.86999501001</v>
      </c>
      <c r="R43" s="31">
        <f t="shared" si="25"/>
        <v>15.53751122</v>
      </c>
      <c r="S43" s="26">
        <v>42651.974487249994</v>
      </c>
      <c r="T43" s="31">
        <f t="shared" si="26"/>
        <v>7.927301643</v>
      </c>
      <c r="U43" s="26">
        <v>25591.18469235</v>
      </c>
      <c r="V43" s="31">
        <f t="shared" si="27"/>
        <v>4.756380986</v>
      </c>
      <c r="W43" s="26">
        <v>46064.13244622999</v>
      </c>
      <c r="X43" s="31">
        <f t="shared" si="28"/>
        <v>8.561485774</v>
      </c>
      <c r="Y43" s="26">
        <v>63124.92224112996</v>
      </c>
      <c r="Z43" s="31">
        <f t="shared" si="29"/>
        <v>11.73240643</v>
      </c>
      <c r="AA43" s="26">
        <v>58006.68530265997</v>
      </c>
      <c r="AB43" s="31">
        <f t="shared" si="30"/>
        <v>10.78113023</v>
      </c>
      <c r="AC43" s="26">
        <v>15354.710815409997</v>
      </c>
      <c r="AD43" s="31">
        <f t="shared" si="31"/>
        <v>2.853828591</v>
      </c>
      <c r="AE43" s="26">
        <v>52888.44836418998</v>
      </c>
      <c r="AF43" s="31">
        <f t="shared" si="32"/>
        <v>9.829854037</v>
      </c>
      <c r="AG43" s="26">
        <v>42651.974487249994</v>
      </c>
      <c r="AH43" s="31">
        <f t="shared" si="33"/>
        <v>7.927301643</v>
      </c>
      <c r="AI43" s="26">
        <v>1706.07897949</v>
      </c>
      <c r="AJ43" s="31">
        <f t="shared" si="34"/>
        <v>0.3170920657</v>
      </c>
    </row>
    <row r="44" ht="15.75" customHeight="1">
      <c r="A44" s="25" t="s">
        <v>54</v>
      </c>
      <c r="B44" s="26">
        <v>742470.0</v>
      </c>
      <c r="C44" s="26">
        <v>37533.73754878</v>
      </c>
      <c r="D44" s="31">
        <f t="shared" si="18"/>
        <v>5.055253081</v>
      </c>
      <c r="E44" s="26">
        <v>240557.13610809043</v>
      </c>
      <c r="F44" s="31">
        <f t="shared" si="19"/>
        <v>32.39957656</v>
      </c>
      <c r="G44" s="26">
        <v>267854.3997799304</v>
      </c>
      <c r="H44" s="31">
        <f t="shared" si="20"/>
        <v>36.07612426</v>
      </c>
      <c r="I44" s="26">
        <v>51182.36938469998</v>
      </c>
      <c r="J44" s="31">
        <f t="shared" si="21"/>
        <v>6.893526928</v>
      </c>
      <c r="K44" s="26">
        <v>78479.63305654</v>
      </c>
      <c r="L44" s="31">
        <f t="shared" si="22"/>
        <v>10.57007462</v>
      </c>
      <c r="M44" s="26">
        <v>34121.57958980001</v>
      </c>
      <c r="N44" s="31">
        <f t="shared" si="23"/>
        <v>4.595684619</v>
      </c>
      <c r="O44" s="26">
        <v>134780.23937971014</v>
      </c>
      <c r="P44" s="31">
        <f t="shared" si="24"/>
        <v>18.15295424</v>
      </c>
      <c r="Q44" s="26">
        <v>78479.63305654</v>
      </c>
      <c r="R44" s="31">
        <f t="shared" si="25"/>
        <v>10.57007462</v>
      </c>
      <c r="S44" s="26">
        <v>35827.658569290004</v>
      </c>
      <c r="T44" s="31">
        <f t="shared" si="26"/>
        <v>4.82546885</v>
      </c>
      <c r="U44" s="26">
        <v>23885.10571286</v>
      </c>
      <c r="V44" s="31">
        <f t="shared" si="27"/>
        <v>3.216979233</v>
      </c>
      <c r="W44" s="26">
        <v>27297.263671840003</v>
      </c>
      <c r="X44" s="31">
        <f t="shared" si="28"/>
        <v>3.676547695</v>
      </c>
      <c r="Y44" s="26">
        <v>44358.05346673999</v>
      </c>
      <c r="Z44" s="31">
        <f t="shared" si="29"/>
        <v>5.974390005</v>
      </c>
      <c r="AA44" s="26">
        <v>44358.05346673999</v>
      </c>
      <c r="AB44" s="31">
        <f t="shared" si="30"/>
        <v>5.974390005</v>
      </c>
      <c r="AC44" s="26">
        <v>17060.789794899996</v>
      </c>
      <c r="AD44" s="31">
        <f t="shared" si="31"/>
        <v>2.297842309</v>
      </c>
      <c r="AE44" s="26">
        <v>102364.73876940006</v>
      </c>
      <c r="AF44" s="31">
        <f t="shared" si="32"/>
        <v>13.78705386</v>
      </c>
      <c r="AG44" s="26">
        <v>54594.527343679976</v>
      </c>
      <c r="AH44" s="31">
        <f t="shared" si="33"/>
        <v>7.35309539</v>
      </c>
      <c r="AI44" s="26">
        <v>6824.31591796</v>
      </c>
      <c r="AJ44" s="31">
        <f t="shared" si="34"/>
        <v>0.9191369238</v>
      </c>
    </row>
    <row r="45" ht="15.75" customHeight="1">
      <c r="A45" s="25" t="s">
        <v>56</v>
      </c>
      <c r="B45" s="26">
        <v>306301.0</v>
      </c>
      <c r="C45" s="26">
        <v>46064.13244622999</v>
      </c>
      <c r="D45" s="31">
        <f t="shared" si="18"/>
        <v>15.03884494</v>
      </c>
      <c r="E45" s="26">
        <v>139898.47631818015</v>
      </c>
      <c r="F45" s="31">
        <f t="shared" si="19"/>
        <v>45.67352908</v>
      </c>
      <c r="G45" s="26">
        <v>177432.21386696026</v>
      </c>
      <c r="H45" s="31">
        <f t="shared" si="20"/>
        <v>57.92740274</v>
      </c>
      <c r="I45" s="26">
        <v>69949.23815908997</v>
      </c>
      <c r="J45" s="31">
        <f t="shared" si="21"/>
        <v>22.83676454</v>
      </c>
      <c r="K45" s="26">
        <v>75067.47509755999</v>
      </c>
      <c r="L45" s="31">
        <f t="shared" si="22"/>
        <v>24.50774731</v>
      </c>
      <c r="M45" s="26">
        <v>47770.21142571999</v>
      </c>
      <c r="N45" s="31">
        <f t="shared" si="23"/>
        <v>15.5958392</v>
      </c>
      <c r="O45" s="26">
        <v>81891.79101552001</v>
      </c>
      <c r="P45" s="31">
        <f t="shared" si="24"/>
        <v>26.73572434</v>
      </c>
      <c r="Q45" s="26">
        <v>37533.73754878</v>
      </c>
      <c r="R45" s="31">
        <f t="shared" si="25"/>
        <v>12.25387366</v>
      </c>
      <c r="S45" s="26">
        <v>35827.658569290004</v>
      </c>
      <c r="T45" s="31">
        <f t="shared" si="26"/>
        <v>11.6968794</v>
      </c>
      <c r="U45" s="26">
        <v>30709.421630820005</v>
      </c>
      <c r="V45" s="31">
        <f t="shared" si="27"/>
        <v>10.02589663</v>
      </c>
      <c r="W45" s="26">
        <v>63124.92224112996</v>
      </c>
      <c r="X45" s="31">
        <f t="shared" si="28"/>
        <v>20.60878751</v>
      </c>
      <c r="Y45" s="26">
        <v>34121.57958980001</v>
      </c>
      <c r="Z45" s="31">
        <f t="shared" si="29"/>
        <v>11.13988514</v>
      </c>
      <c r="AA45" s="26">
        <v>51182.36938469998</v>
      </c>
      <c r="AB45" s="31">
        <f t="shared" si="30"/>
        <v>16.70982771</v>
      </c>
      <c r="AC45" s="26">
        <v>10236.47387694</v>
      </c>
      <c r="AD45" s="31">
        <f t="shared" si="31"/>
        <v>3.341965543</v>
      </c>
      <c r="AE45" s="26">
        <v>78479.63305654</v>
      </c>
      <c r="AF45" s="31">
        <f t="shared" si="32"/>
        <v>25.62173583</v>
      </c>
      <c r="AG45" s="26">
        <v>20472.94775388</v>
      </c>
      <c r="AH45" s="31">
        <f t="shared" si="33"/>
        <v>6.683931085</v>
      </c>
      <c r="AI45" s="26">
        <v>8530.39489745</v>
      </c>
      <c r="AJ45" s="31">
        <f t="shared" si="34"/>
        <v>2.784971286</v>
      </c>
    </row>
    <row r="46" ht="15.75" customHeight="1">
      <c r="A46" s="25" t="s">
        <v>57</v>
      </c>
      <c r="B46" s="26">
        <v>55293.0</v>
      </c>
      <c r="C46" s="26">
        <v>3412.15795898</v>
      </c>
      <c r="D46" s="31">
        <f t="shared" si="18"/>
        <v>6.171048702</v>
      </c>
      <c r="E46" s="26">
        <v>34121.57958980001</v>
      </c>
      <c r="F46" s="31">
        <f t="shared" si="19"/>
        <v>61.71048702</v>
      </c>
      <c r="G46" s="26">
        <v>23885.10571286</v>
      </c>
      <c r="H46" s="31">
        <f t="shared" si="20"/>
        <v>43.19734092</v>
      </c>
      <c r="I46" s="26">
        <v>6824.31591796</v>
      </c>
      <c r="J46" s="31">
        <f t="shared" si="21"/>
        <v>12.3420974</v>
      </c>
      <c r="K46" s="26">
        <v>17060.789794899996</v>
      </c>
      <c r="L46" s="31">
        <f t="shared" si="22"/>
        <v>30.85524351</v>
      </c>
      <c r="M46" s="26">
        <v>3412.15795898</v>
      </c>
      <c r="N46" s="31">
        <f t="shared" si="23"/>
        <v>6.171048702</v>
      </c>
      <c r="O46" s="26">
        <v>8530.39489745</v>
      </c>
      <c r="P46" s="31">
        <f t="shared" si="24"/>
        <v>15.42762176</v>
      </c>
      <c r="Q46" s="26">
        <v>6824.31591796</v>
      </c>
      <c r="R46" s="31">
        <f t="shared" si="25"/>
        <v>12.3420974</v>
      </c>
      <c r="S46" s="26">
        <v>1706.07897949</v>
      </c>
      <c r="T46" s="31">
        <f t="shared" si="26"/>
        <v>3.085524351</v>
      </c>
      <c r="U46" s="26">
        <v>1706.07897949</v>
      </c>
      <c r="V46" s="31">
        <f t="shared" si="27"/>
        <v>3.085524351</v>
      </c>
      <c r="W46" s="26">
        <v>5118.23693847</v>
      </c>
      <c r="X46" s="31">
        <f t="shared" si="28"/>
        <v>9.256573053</v>
      </c>
      <c r="Y46" s="26">
        <v>0.0</v>
      </c>
      <c r="Z46" s="31">
        <f t="shared" si="29"/>
        <v>0</v>
      </c>
      <c r="AA46" s="26">
        <v>6824.31591796</v>
      </c>
      <c r="AB46" s="31">
        <f t="shared" si="30"/>
        <v>12.3420974</v>
      </c>
      <c r="AC46" s="26">
        <v>3412.15795898</v>
      </c>
      <c r="AD46" s="31">
        <f t="shared" si="31"/>
        <v>6.171048702</v>
      </c>
      <c r="AE46" s="26">
        <v>8530.39489745</v>
      </c>
      <c r="AF46" s="31">
        <f t="shared" si="32"/>
        <v>15.42762176</v>
      </c>
      <c r="AG46" s="26">
        <v>3412.15795898</v>
      </c>
      <c r="AH46" s="31">
        <f t="shared" si="33"/>
        <v>6.171048702</v>
      </c>
      <c r="AI46" s="26">
        <v>0.0</v>
      </c>
      <c r="AJ46" s="31">
        <f t="shared" si="34"/>
        <v>0</v>
      </c>
    </row>
    <row r="47" ht="15.75" customHeight="1">
      <c r="A47" s="25" t="s">
        <v>59</v>
      </c>
      <c r="B47" s="26">
        <v>345992.0</v>
      </c>
      <c r="C47" s="26">
        <v>44358.05346673999</v>
      </c>
      <c r="D47" s="31">
        <f t="shared" si="18"/>
        <v>12.8205431</v>
      </c>
      <c r="E47" s="26">
        <v>192786.9246823703</v>
      </c>
      <c r="F47" s="31">
        <f t="shared" si="19"/>
        <v>55.72005268</v>
      </c>
      <c r="G47" s="26">
        <v>191080.8457028803</v>
      </c>
      <c r="H47" s="31">
        <f t="shared" si="20"/>
        <v>55.22695487</v>
      </c>
      <c r="I47" s="26">
        <v>49476.290405209984</v>
      </c>
      <c r="J47" s="31">
        <f t="shared" si="21"/>
        <v>14.29983653</v>
      </c>
      <c r="K47" s="26">
        <v>83597.86999501001</v>
      </c>
      <c r="L47" s="31">
        <f t="shared" si="22"/>
        <v>24.16179276</v>
      </c>
      <c r="M47" s="26">
        <v>44358.05346673999</v>
      </c>
      <c r="N47" s="31">
        <f t="shared" si="23"/>
        <v>12.8205431</v>
      </c>
      <c r="O47" s="26">
        <v>61418.843261639966</v>
      </c>
      <c r="P47" s="31">
        <f t="shared" si="24"/>
        <v>17.75152121</v>
      </c>
      <c r="Q47" s="26">
        <v>46064.13244622999</v>
      </c>
      <c r="R47" s="31">
        <f t="shared" si="25"/>
        <v>13.31364091</v>
      </c>
      <c r="S47" s="26">
        <v>54594.527343679976</v>
      </c>
      <c r="T47" s="31">
        <f t="shared" si="26"/>
        <v>15.77912996</v>
      </c>
      <c r="U47" s="26">
        <v>35827.658569290004</v>
      </c>
      <c r="V47" s="31">
        <f t="shared" si="27"/>
        <v>10.35505404</v>
      </c>
      <c r="W47" s="26">
        <v>35827.658569290004</v>
      </c>
      <c r="X47" s="31">
        <f t="shared" si="28"/>
        <v>10.35505404</v>
      </c>
      <c r="Y47" s="26">
        <v>29003.342651330004</v>
      </c>
      <c r="Z47" s="31">
        <f t="shared" si="29"/>
        <v>8.382662793</v>
      </c>
      <c r="AA47" s="26">
        <v>66537.08020010997</v>
      </c>
      <c r="AB47" s="31">
        <f t="shared" si="30"/>
        <v>19.23081464</v>
      </c>
      <c r="AC47" s="26">
        <v>18766.868774389997</v>
      </c>
      <c r="AD47" s="31">
        <f t="shared" si="31"/>
        <v>5.424075925</v>
      </c>
      <c r="AE47" s="26">
        <v>92128.26489246004</v>
      </c>
      <c r="AF47" s="31">
        <f t="shared" si="32"/>
        <v>26.62728181</v>
      </c>
      <c r="AG47" s="26">
        <v>37533.73754878</v>
      </c>
      <c r="AH47" s="31">
        <f t="shared" si="33"/>
        <v>10.84815185</v>
      </c>
      <c r="AI47" s="26">
        <v>1706.07897949</v>
      </c>
      <c r="AJ47" s="31">
        <f t="shared" si="34"/>
        <v>0.4930978114</v>
      </c>
    </row>
    <row r="48" ht="15.75" customHeight="1">
      <c r="A48" s="25" t="s">
        <v>60</v>
      </c>
      <c r="B48" s="26">
        <v>235634.0</v>
      </c>
      <c r="C48" s="26">
        <v>17060.789794899996</v>
      </c>
      <c r="D48" s="31">
        <f t="shared" si="18"/>
        <v>7.240376938</v>
      </c>
      <c r="E48" s="26">
        <v>76773.55407705</v>
      </c>
      <c r="F48" s="31">
        <f t="shared" si="19"/>
        <v>32.58169622</v>
      </c>
      <c r="G48" s="26">
        <v>107482.97570787008</v>
      </c>
      <c r="H48" s="31">
        <f t="shared" si="20"/>
        <v>45.61437471</v>
      </c>
      <c r="I48" s="26">
        <v>39239.81652827</v>
      </c>
      <c r="J48" s="31">
        <f t="shared" si="21"/>
        <v>16.65286696</v>
      </c>
      <c r="K48" s="26">
        <v>52888.44836418998</v>
      </c>
      <c r="L48" s="31">
        <f t="shared" si="22"/>
        <v>22.44516851</v>
      </c>
      <c r="M48" s="26">
        <v>18766.868774389997</v>
      </c>
      <c r="N48" s="31">
        <f t="shared" si="23"/>
        <v>7.964414632</v>
      </c>
      <c r="O48" s="26">
        <v>39239.81652827</v>
      </c>
      <c r="P48" s="31">
        <f t="shared" si="24"/>
        <v>16.65286696</v>
      </c>
      <c r="Q48" s="26">
        <v>17060.789794899996</v>
      </c>
      <c r="R48" s="31">
        <f t="shared" si="25"/>
        <v>7.240376938</v>
      </c>
      <c r="S48" s="26">
        <v>18766.868774389997</v>
      </c>
      <c r="T48" s="31">
        <f t="shared" si="26"/>
        <v>7.964414632</v>
      </c>
      <c r="U48" s="26">
        <v>18766.868774389997</v>
      </c>
      <c r="V48" s="31">
        <f t="shared" si="27"/>
        <v>7.964414632</v>
      </c>
      <c r="W48" s="26">
        <v>20472.94775388</v>
      </c>
      <c r="X48" s="31">
        <f t="shared" si="28"/>
        <v>8.688452326</v>
      </c>
      <c r="Y48" s="26">
        <v>25591.18469235</v>
      </c>
      <c r="Z48" s="31">
        <f t="shared" si="29"/>
        <v>10.86056541</v>
      </c>
      <c r="AA48" s="26">
        <v>27297.263671840003</v>
      </c>
      <c r="AB48" s="31">
        <f t="shared" si="30"/>
        <v>11.5846031</v>
      </c>
      <c r="AC48" s="26">
        <v>11942.552856429998</v>
      </c>
      <c r="AD48" s="31">
        <f t="shared" si="31"/>
        <v>5.068263857</v>
      </c>
      <c r="AE48" s="26">
        <v>54594.527343679976</v>
      </c>
      <c r="AF48" s="31">
        <f t="shared" si="32"/>
        <v>23.1692062</v>
      </c>
      <c r="AG48" s="26">
        <v>23885.10571286</v>
      </c>
      <c r="AH48" s="31">
        <f t="shared" si="33"/>
        <v>10.13652771</v>
      </c>
      <c r="AI48" s="26">
        <v>3412.15795898</v>
      </c>
      <c r="AJ48" s="31">
        <f t="shared" si="34"/>
        <v>1.448075388</v>
      </c>
    </row>
    <row r="49" ht="15.75" customHeight="1">
      <c r="A49" s="25" t="s">
        <v>63</v>
      </c>
      <c r="B49" s="26">
        <v>299649.0</v>
      </c>
      <c r="C49" s="26">
        <v>22179.02673337</v>
      </c>
      <c r="D49" s="31">
        <f t="shared" si="18"/>
        <v>7.401668864</v>
      </c>
      <c r="E49" s="26">
        <v>78479.63305654</v>
      </c>
      <c r="F49" s="31">
        <f t="shared" si="19"/>
        <v>26.19052059</v>
      </c>
      <c r="G49" s="26">
        <v>136486.31835920014</v>
      </c>
      <c r="H49" s="31">
        <f t="shared" si="20"/>
        <v>45.54873147</v>
      </c>
      <c r="I49" s="26">
        <v>39239.81652827</v>
      </c>
      <c r="J49" s="31">
        <f t="shared" si="21"/>
        <v>13.0952603</v>
      </c>
      <c r="K49" s="26">
        <v>49476.290405209984</v>
      </c>
      <c r="L49" s="31">
        <f t="shared" si="22"/>
        <v>16.51141516</v>
      </c>
      <c r="M49" s="26">
        <v>18766.868774389997</v>
      </c>
      <c r="N49" s="31">
        <f t="shared" si="23"/>
        <v>6.262950577</v>
      </c>
      <c r="O49" s="26">
        <v>39239.81652827</v>
      </c>
      <c r="P49" s="31">
        <f t="shared" si="24"/>
        <v>13.0952603</v>
      </c>
      <c r="Q49" s="26">
        <v>22179.02673337</v>
      </c>
      <c r="R49" s="31">
        <f t="shared" si="25"/>
        <v>7.401668864</v>
      </c>
      <c r="S49" s="26">
        <v>15354.710815409997</v>
      </c>
      <c r="T49" s="31">
        <f t="shared" si="26"/>
        <v>5.12423229</v>
      </c>
      <c r="U49" s="26">
        <v>18766.868774389997</v>
      </c>
      <c r="V49" s="31">
        <f t="shared" si="27"/>
        <v>6.262950577</v>
      </c>
      <c r="W49" s="26">
        <v>13648.631835919998</v>
      </c>
      <c r="X49" s="31">
        <f t="shared" si="28"/>
        <v>4.554873147</v>
      </c>
      <c r="Y49" s="26">
        <v>15354.710815409997</v>
      </c>
      <c r="Z49" s="31">
        <f t="shared" si="29"/>
        <v>5.12423229</v>
      </c>
      <c r="AA49" s="26">
        <v>23885.10571286</v>
      </c>
      <c r="AB49" s="31">
        <f t="shared" si="30"/>
        <v>7.971028007</v>
      </c>
      <c r="AC49" s="26">
        <v>8530.39489745</v>
      </c>
      <c r="AD49" s="31">
        <f t="shared" si="31"/>
        <v>2.846795717</v>
      </c>
      <c r="AE49" s="26">
        <v>42651.974487249994</v>
      </c>
      <c r="AF49" s="31">
        <f t="shared" si="32"/>
        <v>14.23397858</v>
      </c>
      <c r="AG49" s="26">
        <v>17060.789794899996</v>
      </c>
      <c r="AH49" s="31">
        <f t="shared" si="33"/>
        <v>5.693591434</v>
      </c>
      <c r="AI49" s="26">
        <v>13648.631835919998</v>
      </c>
      <c r="AJ49" s="31">
        <f t="shared" si="34"/>
        <v>4.554873147</v>
      </c>
    </row>
    <row r="50" ht="15.75" customHeight="1">
      <c r="A50" s="25" t="s">
        <v>64</v>
      </c>
      <c r="B50" s="26">
        <v>213366.0</v>
      </c>
      <c r="C50" s="26">
        <v>27297.263671840003</v>
      </c>
      <c r="D50" s="31">
        <f t="shared" si="18"/>
        <v>12.79363332</v>
      </c>
      <c r="E50" s="26">
        <v>155253.1871335902</v>
      </c>
      <c r="F50" s="31">
        <f t="shared" si="19"/>
        <v>72.76378951</v>
      </c>
      <c r="G50" s="26">
        <v>148428.87121563018</v>
      </c>
      <c r="H50" s="31">
        <f t="shared" si="20"/>
        <v>69.56538118</v>
      </c>
      <c r="I50" s="26">
        <v>52888.44836418998</v>
      </c>
      <c r="J50" s="31">
        <f t="shared" si="21"/>
        <v>24.78766456</v>
      </c>
      <c r="K50" s="26">
        <v>87010.02795399002</v>
      </c>
      <c r="L50" s="31">
        <f t="shared" si="22"/>
        <v>40.77970621</v>
      </c>
      <c r="M50" s="26">
        <v>39239.81652827</v>
      </c>
      <c r="N50" s="31">
        <f t="shared" si="23"/>
        <v>18.3908479</v>
      </c>
      <c r="O50" s="26">
        <v>49476.290405209984</v>
      </c>
      <c r="P50" s="31">
        <f t="shared" si="24"/>
        <v>23.18846039</v>
      </c>
      <c r="Q50" s="26">
        <v>27297.263671840003</v>
      </c>
      <c r="R50" s="31">
        <f t="shared" si="25"/>
        <v>12.79363332</v>
      </c>
      <c r="S50" s="26">
        <v>29003.342651330004</v>
      </c>
      <c r="T50" s="31">
        <f t="shared" si="26"/>
        <v>13.5932354</v>
      </c>
      <c r="U50" s="26">
        <v>27297.263671840003</v>
      </c>
      <c r="V50" s="31">
        <f t="shared" si="27"/>
        <v>12.79363332</v>
      </c>
      <c r="W50" s="26">
        <v>32415.500610310006</v>
      </c>
      <c r="X50" s="31">
        <f t="shared" si="28"/>
        <v>15.19243957</v>
      </c>
      <c r="Y50" s="26">
        <v>39239.81652827</v>
      </c>
      <c r="Z50" s="31">
        <f t="shared" si="29"/>
        <v>18.3908479</v>
      </c>
      <c r="AA50" s="26">
        <v>29003.342651330004</v>
      </c>
      <c r="AB50" s="31">
        <f t="shared" si="30"/>
        <v>13.5932354</v>
      </c>
      <c r="AC50" s="26">
        <v>23885.10571286</v>
      </c>
      <c r="AD50" s="31">
        <f t="shared" si="31"/>
        <v>11.19442916</v>
      </c>
      <c r="AE50" s="26">
        <v>68243.15917959997</v>
      </c>
      <c r="AF50" s="31">
        <f t="shared" si="32"/>
        <v>31.9840833</v>
      </c>
      <c r="AG50" s="26">
        <v>39239.81652827</v>
      </c>
      <c r="AH50" s="31">
        <f t="shared" si="33"/>
        <v>18.3908479</v>
      </c>
      <c r="AI50" s="26">
        <v>5118.23693847</v>
      </c>
      <c r="AJ50" s="31">
        <f t="shared" si="34"/>
        <v>2.398806248</v>
      </c>
    </row>
    <row r="51" ht="15.75" customHeight="1">
      <c r="A51" s="25" t="s">
        <v>65</v>
      </c>
      <c r="B51" s="26">
        <v>93184.0</v>
      </c>
      <c r="C51" s="26">
        <v>5118.23693847</v>
      </c>
      <c r="D51" s="31">
        <f t="shared" si="18"/>
        <v>5.492613473</v>
      </c>
      <c r="E51" s="26">
        <v>95540.42285144005</v>
      </c>
      <c r="F51" s="31">
        <f t="shared" si="19"/>
        <v>102.5287848</v>
      </c>
      <c r="G51" s="26">
        <v>66537.08020010997</v>
      </c>
      <c r="H51" s="31">
        <f t="shared" si="20"/>
        <v>71.40397515</v>
      </c>
      <c r="I51" s="26">
        <v>6824.31591796</v>
      </c>
      <c r="J51" s="31">
        <f t="shared" si="21"/>
        <v>7.32348463</v>
      </c>
      <c r="K51" s="26">
        <v>32415.500610310006</v>
      </c>
      <c r="L51" s="31">
        <f t="shared" si="22"/>
        <v>34.78655199</v>
      </c>
      <c r="M51" s="26">
        <v>5118.23693847</v>
      </c>
      <c r="N51" s="31">
        <f t="shared" si="23"/>
        <v>5.492613473</v>
      </c>
      <c r="O51" s="26">
        <v>40945.89550776</v>
      </c>
      <c r="P51" s="31">
        <f t="shared" si="24"/>
        <v>43.94090778</v>
      </c>
      <c r="Q51" s="26">
        <v>20472.94775388</v>
      </c>
      <c r="R51" s="31">
        <f t="shared" si="25"/>
        <v>21.97045389</v>
      </c>
      <c r="S51" s="26">
        <v>5118.23693847</v>
      </c>
      <c r="T51" s="31">
        <f t="shared" si="26"/>
        <v>5.492613473</v>
      </c>
      <c r="U51" s="26">
        <v>6824.31591796</v>
      </c>
      <c r="V51" s="31">
        <f t="shared" si="27"/>
        <v>7.32348463</v>
      </c>
      <c r="W51" s="26">
        <v>5118.23693847</v>
      </c>
      <c r="X51" s="31">
        <f t="shared" si="28"/>
        <v>5.492613473</v>
      </c>
      <c r="Y51" s="26">
        <v>1706.07897949</v>
      </c>
      <c r="Z51" s="31">
        <f t="shared" si="29"/>
        <v>1.830871158</v>
      </c>
      <c r="AA51" s="26">
        <v>29003.342651330004</v>
      </c>
      <c r="AB51" s="31">
        <f t="shared" si="30"/>
        <v>31.12480968</v>
      </c>
      <c r="AC51" s="26">
        <v>1706.07897949</v>
      </c>
      <c r="AD51" s="31">
        <f t="shared" si="31"/>
        <v>1.830871158</v>
      </c>
      <c r="AE51" s="26">
        <v>23885.10571286</v>
      </c>
      <c r="AF51" s="31">
        <f t="shared" si="32"/>
        <v>25.63219621</v>
      </c>
      <c r="AG51" s="26">
        <v>17060.789794899996</v>
      </c>
      <c r="AH51" s="31">
        <f t="shared" si="33"/>
        <v>18.30871158</v>
      </c>
      <c r="AI51" s="26">
        <v>0.0</v>
      </c>
      <c r="AJ51" s="31">
        <f t="shared" si="34"/>
        <v>0</v>
      </c>
    </row>
    <row r="52" ht="15.75" customHeight="1">
      <c r="A52" s="28"/>
      <c r="B52" s="28"/>
      <c r="C52" s="28"/>
      <c r="D52" s="28"/>
      <c r="E52" s="28"/>
      <c r="F52" s="28"/>
      <c r="G52" s="28"/>
      <c r="H52" s="28"/>
      <c r="I52" s="28"/>
      <c r="J52" s="28"/>
      <c r="K52" s="28"/>
      <c r="L52" s="28"/>
      <c r="M52" s="28"/>
      <c r="N52" s="28"/>
      <c r="O52" s="28"/>
      <c r="P52" s="28"/>
      <c r="Q52" s="28"/>
      <c r="R52" s="28"/>
      <c r="S52" s="28"/>
      <c r="T52" s="28"/>
      <c r="U52" s="28"/>
      <c r="V52" s="28"/>
      <c r="W52" s="28"/>
      <c r="X52" s="28"/>
      <c r="Y52" s="28"/>
      <c r="Z52" s="28"/>
      <c r="AA52" s="28"/>
      <c r="AB52" s="28"/>
      <c r="AC52" s="28"/>
      <c r="AD52" s="28"/>
      <c r="AE52" s="28"/>
      <c r="AF52" s="28"/>
      <c r="AG52" s="28"/>
      <c r="AH52" s="28"/>
      <c r="AI52" s="28"/>
      <c r="AJ52" s="28"/>
    </row>
    <row r="53" ht="15.75" customHeight="1">
      <c r="A53" s="9"/>
      <c r="B53" s="9"/>
      <c r="C53" s="9"/>
      <c r="D53" s="9"/>
      <c r="E53" s="9"/>
      <c r="F53" s="9"/>
    </row>
    <row r="54" ht="15.75" customHeight="1">
      <c r="A54" s="29" t="s">
        <v>69</v>
      </c>
      <c r="B54" s="29"/>
      <c r="C54" s="29"/>
      <c r="D54" s="29"/>
      <c r="E54" s="29"/>
      <c r="F54" s="29"/>
    </row>
    <row r="55" ht="15.75" customHeight="1">
      <c r="A55" s="29" t="s">
        <v>72</v>
      </c>
      <c r="B55" s="29"/>
      <c r="C55" s="29"/>
      <c r="D55" s="29"/>
      <c r="E55" s="29"/>
      <c r="F55" s="29"/>
    </row>
    <row r="56" ht="15.75" customHeight="1">
      <c r="A56" s="29" t="s">
        <v>517</v>
      </c>
      <c r="B56" s="29"/>
      <c r="C56" s="29"/>
      <c r="D56" s="29"/>
      <c r="E56" s="29"/>
      <c r="F56" s="29"/>
    </row>
    <row r="57" ht="15.75" customHeight="1">
      <c r="A57" s="32" t="s">
        <v>76</v>
      </c>
    </row>
    <row r="58" ht="15.75" customHeight="1">
      <c r="A58" s="32"/>
    </row>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4">
    <mergeCell ref="M6:N6"/>
    <mergeCell ref="O6:P6"/>
    <mergeCell ref="Q6:R6"/>
    <mergeCell ref="S6:T6"/>
    <mergeCell ref="U6:V6"/>
    <mergeCell ref="W6:X6"/>
    <mergeCell ref="Y6:Z6"/>
    <mergeCell ref="AA6:AB6"/>
    <mergeCell ref="AC6:AD6"/>
    <mergeCell ref="AE6:AF6"/>
    <mergeCell ref="AG6:AH6"/>
    <mergeCell ref="AI6:AJ6"/>
    <mergeCell ref="E31:F31"/>
    <mergeCell ref="G31:H31"/>
    <mergeCell ref="A4:A7"/>
    <mergeCell ref="B4:AJ4"/>
    <mergeCell ref="B5:B7"/>
    <mergeCell ref="C5:AJ5"/>
    <mergeCell ref="C6:D6"/>
    <mergeCell ref="E6:F6"/>
    <mergeCell ref="G6:H6"/>
    <mergeCell ref="A57:F57"/>
    <mergeCell ref="A58:F58"/>
    <mergeCell ref="I6:J6"/>
    <mergeCell ref="K6:L6"/>
    <mergeCell ref="A29:A32"/>
    <mergeCell ref="B29:AJ29"/>
    <mergeCell ref="B30:B32"/>
    <mergeCell ref="C30:AJ30"/>
    <mergeCell ref="C31:D31"/>
    <mergeCell ref="I31:J31"/>
    <mergeCell ref="K31:L31"/>
    <mergeCell ref="M31:N31"/>
    <mergeCell ref="O31:P31"/>
    <mergeCell ref="Q31:R31"/>
    <mergeCell ref="S31:T31"/>
    <mergeCell ref="U31:V31"/>
    <mergeCell ref="W31:X31"/>
    <mergeCell ref="Y31:Z31"/>
    <mergeCell ref="AA31:AB31"/>
    <mergeCell ref="AC31:AD31"/>
    <mergeCell ref="AE31:AF31"/>
    <mergeCell ref="AG31:AH31"/>
    <mergeCell ref="AI31:AJ31"/>
  </mergeCells>
  <hyperlinks>
    <hyperlink display="BACK TO LIST" location="LIST!A1" ref="A1"/>
  </hyperlinks>
  <printOptions/>
  <pageMargins bottom="0.75" footer="0.0" header="0.0" left="0.7" right="0.7" top="0.75"/>
  <pageSetup orientation="landscape"/>
  <drawing r:id="rId1"/>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7"/>
    <pageSetUpPr/>
  </sheetPr>
  <sheetViews>
    <sheetView workbookViewId="0"/>
  </sheetViews>
  <sheetFormatPr customHeight="1" defaultColWidth="12.63" defaultRowHeight="15.0"/>
  <cols>
    <col customWidth="1" min="1" max="1" width="39.0"/>
    <col customWidth="1" min="2" max="8" width="14.0"/>
    <col customWidth="1" min="9" max="26" width="8.63"/>
  </cols>
  <sheetData>
    <row r="1">
      <c r="A1" s="5" t="s">
        <v>1</v>
      </c>
    </row>
    <row r="2">
      <c r="A2" s="33" t="s">
        <v>483</v>
      </c>
      <c r="B2" s="53"/>
      <c r="C2" s="53"/>
      <c r="D2" s="53"/>
      <c r="E2" s="53"/>
      <c r="F2" s="53"/>
      <c r="G2" s="53"/>
      <c r="H2" s="53"/>
    </row>
    <row r="3">
      <c r="A3" s="8"/>
      <c r="B3" s="9"/>
      <c r="C3" s="9"/>
      <c r="D3" s="9"/>
      <c r="E3" s="9"/>
      <c r="F3" s="9"/>
      <c r="G3" s="9"/>
      <c r="H3" s="9"/>
    </row>
    <row r="4" ht="15.0" customHeight="1">
      <c r="A4" s="10" t="s">
        <v>13</v>
      </c>
      <c r="B4" s="21" t="s">
        <v>465</v>
      </c>
      <c r="C4" s="42" t="s">
        <v>484</v>
      </c>
      <c r="D4" s="14"/>
      <c r="E4" s="14"/>
      <c r="F4" s="14"/>
      <c r="G4" s="14"/>
      <c r="H4" s="15"/>
    </row>
    <row r="5" ht="15.0" customHeight="1">
      <c r="A5" s="17"/>
      <c r="B5" s="17"/>
      <c r="C5" s="13"/>
      <c r="D5" s="15"/>
      <c r="E5" s="24"/>
      <c r="F5" s="24"/>
      <c r="G5" s="13"/>
      <c r="H5" s="15"/>
    </row>
    <row r="6">
      <c r="A6" s="18"/>
      <c r="B6" s="18"/>
      <c r="C6" s="24" t="s">
        <v>37</v>
      </c>
      <c r="D6" s="24" t="s">
        <v>39</v>
      </c>
      <c r="E6" s="24" t="s">
        <v>37</v>
      </c>
      <c r="F6" s="24" t="s">
        <v>39</v>
      </c>
      <c r="G6" s="24" t="s">
        <v>37</v>
      </c>
      <c r="H6" s="24" t="s">
        <v>39</v>
      </c>
    </row>
    <row r="7">
      <c r="A7" s="16"/>
      <c r="B7" s="20"/>
      <c r="C7" s="20"/>
      <c r="D7" s="20"/>
      <c r="E7" s="20"/>
      <c r="F7" s="20"/>
      <c r="G7" s="20"/>
      <c r="H7" s="20"/>
    </row>
    <row r="8">
      <c r="A8" s="22" t="s">
        <v>33</v>
      </c>
      <c r="B8" s="23">
        <v>8661536.0</v>
      </c>
      <c r="C8" s="23">
        <v>5625899.0</v>
      </c>
      <c r="D8" s="27">
        <f t="shared" ref="D8:D25" si="1">C8/$B8*100</f>
        <v>64.95267121</v>
      </c>
      <c r="E8" s="23">
        <v>5497856.0</v>
      </c>
      <c r="F8" s="27">
        <f t="shared" ref="F8:F25" si="2">E8/$B8*100</f>
        <v>63.47437683</v>
      </c>
      <c r="G8" s="23">
        <v>13065.0</v>
      </c>
      <c r="H8" s="27">
        <f t="shared" ref="H8:H25" si="3">G8/$B8*100</f>
        <v>0.1508392969</v>
      </c>
    </row>
    <row r="9">
      <c r="A9" s="25" t="s">
        <v>38</v>
      </c>
      <c r="B9" s="26">
        <v>1808842.0</v>
      </c>
      <c r="C9" s="26">
        <v>1259690.0</v>
      </c>
      <c r="D9" s="31">
        <f t="shared" si="1"/>
        <v>69.64068725</v>
      </c>
      <c r="E9" s="26">
        <v>1115083.0</v>
      </c>
      <c r="F9" s="31">
        <f t="shared" si="2"/>
        <v>61.64623555</v>
      </c>
      <c r="G9" s="26">
        <v>4432.0</v>
      </c>
      <c r="H9" s="31">
        <f t="shared" si="3"/>
        <v>0.2450186362</v>
      </c>
    </row>
    <row r="10">
      <c r="A10" s="25" t="s">
        <v>41</v>
      </c>
      <c r="B10" s="26">
        <v>153829.0</v>
      </c>
      <c r="C10" s="26">
        <v>109658.0</v>
      </c>
      <c r="D10" s="31">
        <f t="shared" si="1"/>
        <v>71.28564835</v>
      </c>
      <c r="E10" s="26">
        <v>92763.0</v>
      </c>
      <c r="F10" s="31">
        <f t="shared" si="2"/>
        <v>60.30267375</v>
      </c>
      <c r="G10" s="26">
        <v>0.0</v>
      </c>
      <c r="H10" s="31">
        <f t="shared" si="3"/>
        <v>0</v>
      </c>
    </row>
    <row r="11">
      <c r="A11" s="25" t="s">
        <v>43</v>
      </c>
      <c r="B11" s="26">
        <v>363544.0</v>
      </c>
      <c r="C11" s="26">
        <v>299655.0</v>
      </c>
      <c r="D11" s="31">
        <f t="shared" si="1"/>
        <v>82.42606122</v>
      </c>
      <c r="E11" s="26">
        <v>212272.0</v>
      </c>
      <c r="F11" s="31">
        <f t="shared" si="2"/>
        <v>58.38963097</v>
      </c>
      <c r="G11" s="26">
        <v>0.0</v>
      </c>
      <c r="H11" s="31">
        <f t="shared" si="3"/>
        <v>0</v>
      </c>
    </row>
    <row r="12">
      <c r="A12" s="25" t="s">
        <v>44</v>
      </c>
      <c r="B12" s="26">
        <v>349045.0</v>
      </c>
      <c r="C12" s="26">
        <v>214824.0</v>
      </c>
      <c r="D12" s="31">
        <f t="shared" si="1"/>
        <v>61.54621897</v>
      </c>
      <c r="E12" s="26">
        <v>206207.0</v>
      </c>
      <c r="F12" s="31">
        <f t="shared" si="2"/>
        <v>59.07748285</v>
      </c>
      <c r="G12" s="26">
        <v>0.0</v>
      </c>
      <c r="H12" s="31">
        <f t="shared" si="3"/>
        <v>0</v>
      </c>
    </row>
    <row r="13">
      <c r="A13" s="25" t="s">
        <v>46</v>
      </c>
      <c r="B13" s="26">
        <v>1070586.0</v>
      </c>
      <c r="C13" s="26">
        <v>640107.0</v>
      </c>
      <c r="D13" s="31">
        <f t="shared" si="1"/>
        <v>59.79033912</v>
      </c>
      <c r="E13" s="26">
        <v>690042.0</v>
      </c>
      <c r="F13" s="31">
        <f t="shared" si="2"/>
        <v>64.4546071</v>
      </c>
      <c r="G13" s="26">
        <v>2754.0</v>
      </c>
      <c r="H13" s="31">
        <f t="shared" si="3"/>
        <v>0.2572422953</v>
      </c>
    </row>
    <row r="14">
      <c r="A14" s="25" t="s">
        <v>48</v>
      </c>
      <c r="B14" s="26">
        <v>1412941.0</v>
      </c>
      <c r="C14" s="26">
        <v>1069051.0</v>
      </c>
      <c r="D14" s="31">
        <f t="shared" si="1"/>
        <v>75.66140412</v>
      </c>
      <c r="E14" s="26">
        <v>812590.0</v>
      </c>
      <c r="F14" s="31">
        <f t="shared" si="2"/>
        <v>57.51054007</v>
      </c>
      <c r="G14" s="26">
        <v>0.0</v>
      </c>
      <c r="H14" s="31">
        <f t="shared" si="3"/>
        <v>0</v>
      </c>
    </row>
    <row r="15">
      <c r="A15" s="25" t="s">
        <v>50</v>
      </c>
      <c r="B15" s="26">
        <v>199199.0</v>
      </c>
      <c r="C15" s="26">
        <v>113637.0</v>
      </c>
      <c r="D15" s="31">
        <f t="shared" si="1"/>
        <v>57.04697313</v>
      </c>
      <c r="E15" s="26">
        <v>130756.0</v>
      </c>
      <c r="F15" s="31">
        <f t="shared" si="2"/>
        <v>65.64089177</v>
      </c>
      <c r="G15" s="26">
        <v>0.0</v>
      </c>
      <c r="H15" s="31">
        <f t="shared" si="3"/>
        <v>0</v>
      </c>
    </row>
    <row r="16">
      <c r="A16" s="25" t="s">
        <v>51</v>
      </c>
      <c r="B16" s="26">
        <v>473624.0</v>
      </c>
      <c r="C16" s="26">
        <v>248545.0</v>
      </c>
      <c r="D16" s="31">
        <f t="shared" si="1"/>
        <v>52.47728156</v>
      </c>
      <c r="E16" s="26">
        <v>338370.0</v>
      </c>
      <c r="F16" s="31">
        <f t="shared" si="2"/>
        <v>71.44274783</v>
      </c>
      <c r="G16" s="26">
        <v>0.0</v>
      </c>
      <c r="H16" s="31">
        <f t="shared" si="3"/>
        <v>0</v>
      </c>
    </row>
    <row r="17">
      <c r="A17" s="25" t="s">
        <v>53</v>
      </c>
      <c r="B17" s="26">
        <v>538039.0</v>
      </c>
      <c r="C17" s="26">
        <v>261922.0</v>
      </c>
      <c r="D17" s="31">
        <f t="shared" si="1"/>
        <v>48.68085771</v>
      </c>
      <c r="E17" s="26">
        <v>409654.0</v>
      </c>
      <c r="F17" s="31">
        <f t="shared" si="2"/>
        <v>76.13834685</v>
      </c>
      <c r="G17" s="26">
        <v>2452.0</v>
      </c>
      <c r="H17" s="31">
        <f t="shared" si="3"/>
        <v>0.4557290457</v>
      </c>
    </row>
    <row r="18">
      <c r="A18" s="25" t="s">
        <v>54</v>
      </c>
      <c r="B18" s="26">
        <v>742470.0</v>
      </c>
      <c r="C18" s="26">
        <v>444122.0</v>
      </c>
      <c r="D18" s="31">
        <f t="shared" si="1"/>
        <v>59.81682762</v>
      </c>
      <c r="E18" s="26">
        <v>498271.0</v>
      </c>
      <c r="F18" s="31">
        <f t="shared" si="2"/>
        <v>67.1099169</v>
      </c>
      <c r="G18" s="26">
        <v>1612.0</v>
      </c>
      <c r="H18" s="31">
        <f t="shared" si="3"/>
        <v>0.2171131494</v>
      </c>
    </row>
    <row r="19">
      <c r="A19" s="25" t="s">
        <v>56</v>
      </c>
      <c r="B19" s="26">
        <v>306301.0</v>
      </c>
      <c r="C19" s="26">
        <v>218938.0</v>
      </c>
      <c r="D19" s="31">
        <f t="shared" si="1"/>
        <v>71.4780559</v>
      </c>
      <c r="E19" s="26">
        <v>164109.0</v>
      </c>
      <c r="F19" s="31">
        <f t="shared" si="2"/>
        <v>53.57768992</v>
      </c>
      <c r="G19" s="26">
        <v>0.0</v>
      </c>
      <c r="H19" s="31">
        <f t="shared" si="3"/>
        <v>0</v>
      </c>
    </row>
    <row r="20">
      <c r="A20" s="25" t="s">
        <v>57</v>
      </c>
      <c r="B20" s="26">
        <v>55293.0</v>
      </c>
      <c r="C20" s="26">
        <v>46870.0</v>
      </c>
      <c r="D20" s="31">
        <f t="shared" si="1"/>
        <v>84.76660698</v>
      </c>
      <c r="E20" s="26">
        <v>30884.0</v>
      </c>
      <c r="F20" s="31">
        <f t="shared" si="2"/>
        <v>55.85517154</v>
      </c>
      <c r="G20" s="26">
        <v>0.0</v>
      </c>
      <c r="H20" s="31">
        <f t="shared" si="3"/>
        <v>0</v>
      </c>
    </row>
    <row r="21" ht="15.75" customHeight="1">
      <c r="A21" s="25" t="s">
        <v>59</v>
      </c>
      <c r="B21" s="26">
        <v>345992.0</v>
      </c>
      <c r="C21" s="26">
        <v>198735.0</v>
      </c>
      <c r="D21" s="31">
        <f t="shared" si="1"/>
        <v>57.43918935</v>
      </c>
      <c r="E21" s="26">
        <v>254774.0</v>
      </c>
      <c r="F21" s="31">
        <f t="shared" si="2"/>
        <v>73.63580661</v>
      </c>
      <c r="G21" s="26">
        <v>0.0</v>
      </c>
      <c r="H21" s="31">
        <f t="shared" si="3"/>
        <v>0</v>
      </c>
    </row>
    <row r="22" ht="15.75" customHeight="1">
      <c r="A22" s="25" t="s">
        <v>60</v>
      </c>
      <c r="B22" s="26">
        <v>235634.0</v>
      </c>
      <c r="C22" s="26">
        <v>138583.0</v>
      </c>
      <c r="D22" s="31">
        <f t="shared" si="1"/>
        <v>58.81281988</v>
      </c>
      <c r="E22" s="26">
        <v>147315.0</v>
      </c>
      <c r="F22" s="31">
        <f t="shared" si="2"/>
        <v>62.51856693</v>
      </c>
      <c r="G22" s="26">
        <v>0.0</v>
      </c>
      <c r="H22" s="31">
        <f t="shared" si="3"/>
        <v>0</v>
      </c>
    </row>
    <row r="23" ht="15.75" customHeight="1">
      <c r="A23" s="25" t="s">
        <v>63</v>
      </c>
      <c r="B23" s="26">
        <v>299649.0</v>
      </c>
      <c r="C23" s="26">
        <v>195183.0</v>
      </c>
      <c r="D23" s="31">
        <f t="shared" si="1"/>
        <v>65.13721054</v>
      </c>
      <c r="E23" s="26">
        <v>202831.0</v>
      </c>
      <c r="F23" s="31">
        <f t="shared" si="2"/>
        <v>67.68953008</v>
      </c>
      <c r="G23" s="26">
        <v>0.0</v>
      </c>
      <c r="H23" s="31">
        <f t="shared" si="3"/>
        <v>0</v>
      </c>
    </row>
    <row r="24" ht="15.75" customHeight="1">
      <c r="A24" s="25" t="s">
        <v>64</v>
      </c>
      <c r="B24" s="26">
        <v>213366.0</v>
      </c>
      <c r="C24" s="26">
        <v>94071.0</v>
      </c>
      <c r="D24" s="31">
        <f t="shared" si="1"/>
        <v>44.08903012</v>
      </c>
      <c r="E24" s="26">
        <v>152412.0</v>
      </c>
      <c r="F24" s="31">
        <f t="shared" si="2"/>
        <v>71.43218695</v>
      </c>
      <c r="G24" s="26">
        <v>1814.0</v>
      </c>
      <c r="H24" s="31">
        <f t="shared" si="3"/>
        <v>0.8501823158</v>
      </c>
    </row>
    <row r="25" ht="15.75" customHeight="1">
      <c r="A25" s="25" t="s">
        <v>65</v>
      </c>
      <c r="B25" s="26">
        <v>93184.0</v>
      </c>
      <c r="C25" s="26">
        <v>72307.0</v>
      </c>
      <c r="D25" s="31">
        <f t="shared" si="1"/>
        <v>77.59593922</v>
      </c>
      <c r="E25" s="26">
        <v>39523.0</v>
      </c>
      <c r="F25" s="31">
        <f t="shared" si="2"/>
        <v>42.41393372</v>
      </c>
      <c r="G25" s="26">
        <v>0.0</v>
      </c>
      <c r="H25" s="31">
        <f t="shared" si="3"/>
        <v>0</v>
      </c>
    </row>
    <row r="26" ht="15.75" customHeight="1">
      <c r="A26" s="28"/>
      <c r="B26" s="28"/>
      <c r="C26" s="28"/>
      <c r="D26" s="28"/>
      <c r="E26" s="28"/>
      <c r="F26" s="28"/>
      <c r="G26" s="28"/>
      <c r="H26" s="28"/>
    </row>
    <row r="27" ht="15.75" customHeight="1">
      <c r="A27" s="9"/>
      <c r="B27" s="9"/>
      <c r="C27" s="9"/>
      <c r="D27" s="9"/>
      <c r="E27" s="9"/>
      <c r="F27" s="9"/>
      <c r="G27" s="9"/>
      <c r="H27" s="9"/>
    </row>
    <row r="28" ht="15.75" customHeight="1">
      <c r="A28" s="29" t="s">
        <v>69</v>
      </c>
      <c r="B28" s="29"/>
      <c r="C28" s="29"/>
      <c r="D28" s="29"/>
      <c r="E28" s="29"/>
      <c r="F28" s="29"/>
      <c r="G28" s="29"/>
      <c r="H28" s="29"/>
    </row>
    <row r="29" ht="15.75" customHeight="1">
      <c r="A29" s="29" t="s">
        <v>72</v>
      </c>
      <c r="B29" s="29"/>
      <c r="C29" s="29"/>
      <c r="D29" s="29"/>
      <c r="E29" s="29"/>
      <c r="F29" s="29"/>
      <c r="G29" s="29"/>
      <c r="H29" s="29"/>
    </row>
    <row r="30" ht="15.75" customHeight="1">
      <c r="A30" s="29" t="s">
        <v>487</v>
      </c>
      <c r="B30" s="29"/>
      <c r="C30" s="29"/>
      <c r="D30" s="29"/>
      <c r="E30" s="29"/>
      <c r="F30" s="29"/>
      <c r="G30" s="29"/>
      <c r="H30" s="29"/>
    </row>
    <row r="31" ht="15.75" customHeight="1">
      <c r="A31" s="32" t="s">
        <v>76</v>
      </c>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4:A6"/>
    <mergeCell ref="B4:B6"/>
    <mergeCell ref="C4:H4"/>
    <mergeCell ref="C5:D5"/>
    <mergeCell ref="G5:H5"/>
    <mergeCell ref="A31:H31"/>
  </mergeCells>
  <hyperlinks>
    <hyperlink display="BACK TO LIST" location="LIST!A1" ref="A1"/>
  </hyperlinks>
  <printOptions/>
  <pageMargins bottom="0.75" footer="0.0" header="0.0" left="0.7" right="0.7" top="0.75"/>
  <pageSetup orientation="landscape"/>
  <drawing r:id="rId1"/>
</worksheet>
</file>

<file path=xl/worksheets/sheet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9"/>
    <pageSetUpPr/>
  </sheetPr>
  <sheetViews>
    <sheetView workbookViewId="0"/>
  </sheetViews>
  <sheetFormatPr customHeight="1" defaultColWidth="12.63" defaultRowHeight="15.0"/>
  <cols>
    <col customWidth="1" min="1" max="1" width="39.0"/>
    <col customWidth="1" min="2" max="7" width="14.0"/>
    <col customWidth="1" min="8" max="26" width="8.63"/>
  </cols>
  <sheetData>
    <row r="1">
      <c r="A1" s="5" t="s">
        <v>1</v>
      </c>
      <c r="B1" s="5"/>
      <c r="C1" s="5"/>
      <c r="D1" s="5"/>
    </row>
    <row r="2" ht="15.0" customHeight="1">
      <c r="A2" s="33" t="s">
        <v>485</v>
      </c>
      <c r="B2" s="33"/>
      <c r="C2" s="33"/>
      <c r="D2" s="33"/>
      <c r="E2" s="6"/>
      <c r="F2" s="6"/>
      <c r="G2" s="6"/>
    </row>
    <row r="3">
      <c r="A3" s="8"/>
      <c r="B3" s="8"/>
      <c r="C3" s="8"/>
      <c r="D3" s="8"/>
      <c r="E3" s="9"/>
      <c r="F3" s="9"/>
      <c r="G3" s="9"/>
    </row>
    <row r="4">
      <c r="A4" s="10" t="s">
        <v>13</v>
      </c>
      <c r="B4" s="72">
        <v>2019.0</v>
      </c>
      <c r="C4" s="14"/>
      <c r="D4" s="15"/>
      <c r="E4" s="72">
        <v>2024.0</v>
      </c>
      <c r="F4" s="14"/>
      <c r="G4" s="15"/>
    </row>
    <row r="5" ht="30.0" customHeight="1">
      <c r="A5" s="17"/>
      <c r="B5" s="21" t="s">
        <v>143</v>
      </c>
      <c r="C5" s="13" t="s">
        <v>486</v>
      </c>
      <c r="D5" s="15"/>
      <c r="E5" s="21" t="s">
        <v>143</v>
      </c>
      <c r="F5" s="13" t="s">
        <v>486</v>
      </c>
      <c r="G5" s="15"/>
    </row>
    <row r="6">
      <c r="A6" s="18"/>
      <c r="B6" s="18"/>
      <c r="C6" s="24" t="s">
        <v>37</v>
      </c>
      <c r="D6" s="24" t="s">
        <v>39</v>
      </c>
      <c r="E6" s="18"/>
      <c r="F6" s="24" t="s">
        <v>37</v>
      </c>
      <c r="G6" s="24" t="s">
        <v>39</v>
      </c>
    </row>
    <row r="7">
      <c r="A7" s="16"/>
      <c r="B7" s="16"/>
      <c r="C7" s="16"/>
      <c r="D7" s="16"/>
      <c r="E7" s="20"/>
      <c r="F7" s="20"/>
      <c r="G7" s="20"/>
    </row>
    <row r="8">
      <c r="A8" s="22" t="s">
        <v>33</v>
      </c>
      <c r="B8" s="23">
        <f>i_C6!B8</f>
        <v>83258836</v>
      </c>
      <c r="C8" s="23">
        <v>2.0030016E7</v>
      </c>
      <c r="D8" s="27">
        <f t="shared" ref="D8:D25" si="1">(C8/B8)*100</f>
        <v>24.05752586</v>
      </c>
      <c r="E8" s="23">
        <v>9.1383228E7</v>
      </c>
      <c r="F8" s="23">
        <v>3.0547109E7</v>
      </c>
      <c r="G8" s="27">
        <f t="shared" ref="G8:G25" si="2">(F8/E8)*100</f>
        <v>33.42747862</v>
      </c>
      <c r="K8" s="34"/>
      <c r="M8" s="73"/>
    </row>
    <row r="9">
      <c r="A9" s="25" t="s">
        <v>38</v>
      </c>
      <c r="B9" s="26">
        <f>i_C6!B9</f>
        <v>11005073</v>
      </c>
      <c r="C9" s="26">
        <v>3946726.0</v>
      </c>
      <c r="D9" s="31">
        <f t="shared" si="1"/>
        <v>35.86278801</v>
      </c>
      <c r="E9" s="26">
        <v>1.1919468E7</v>
      </c>
      <c r="F9" s="26">
        <v>6350441.0</v>
      </c>
      <c r="G9" s="31">
        <f t="shared" si="2"/>
        <v>53.27788958</v>
      </c>
      <c r="K9" s="34"/>
      <c r="M9" s="73"/>
    </row>
    <row r="10">
      <c r="A10" s="25" t="s">
        <v>41</v>
      </c>
      <c r="B10" s="26">
        <f>i_C6!B10</f>
        <v>1394660</v>
      </c>
      <c r="C10" s="26">
        <v>296038.0</v>
      </c>
      <c r="D10" s="31">
        <f t="shared" si="1"/>
        <v>21.2265355</v>
      </c>
      <c r="E10" s="26">
        <v>1496049.0</v>
      </c>
      <c r="F10" s="26">
        <v>529101.0</v>
      </c>
      <c r="G10" s="31">
        <f t="shared" si="2"/>
        <v>35.36655551</v>
      </c>
      <c r="K10" s="34"/>
      <c r="M10" s="73"/>
    </row>
    <row r="11">
      <c r="A11" s="25" t="s">
        <v>43</v>
      </c>
      <c r="B11" s="26">
        <f>i_C6!B11</f>
        <v>4063052</v>
      </c>
      <c r="C11" s="26">
        <v>975070.0</v>
      </c>
      <c r="D11" s="31">
        <f t="shared" si="1"/>
        <v>23.99846224</v>
      </c>
      <c r="E11" s="26">
        <v>4389510.0</v>
      </c>
      <c r="F11" s="26">
        <v>1136207.0</v>
      </c>
      <c r="G11" s="31">
        <f t="shared" si="2"/>
        <v>25.8845976</v>
      </c>
      <c r="K11" s="34"/>
      <c r="M11" s="73"/>
    </row>
    <row r="12">
      <c r="A12" s="25" t="s">
        <v>44</v>
      </c>
      <c r="B12" s="26">
        <f>i_C6!B12</f>
        <v>2820240</v>
      </c>
      <c r="C12" s="26">
        <v>697612.0</v>
      </c>
      <c r="D12" s="31">
        <f t="shared" si="1"/>
        <v>24.735909</v>
      </c>
      <c r="E12" s="26">
        <v>3055894.0</v>
      </c>
      <c r="F12" s="26">
        <v>1093068.0</v>
      </c>
      <c r="G12" s="31">
        <f t="shared" si="2"/>
        <v>35.76917262</v>
      </c>
      <c r="K12" s="34"/>
      <c r="M12" s="73"/>
    </row>
    <row r="13">
      <c r="A13" s="25" t="s">
        <v>46</v>
      </c>
      <c r="B13" s="26">
        <f>i_C6!B13</f>
        <v>9585315</v>
      </c>
      <c r="C13" s="26">
        <v>2628156.0</v>
      </c>
      <c r="D13" s="31">
        <f t="shared" si="1"/>
        <v>27.41856684</v>
      </c>
      <c r="E13" s="26">
        <v>1.070829E7</v>
      </c>
      <c r="F13" s="26">
        <v>3630559.0</v>
      </c>
      <c r="G13" s="31">
        <f t="shared" si="2"/>
        <v>33.90419012</v>
      </c>
      <c r="K13" s="34"/>
      <c r="M13" s="73"/>
    </row>
    <row r="14">
      <c r="A14" s="25" t="s">
        <v>48</v>
      </c>
      <c r="B14" s="26">
        <f>i_C6!B14</f>
        <v>12457452</v>
      </c>
      <c r="C14" s="26">
        <v>3307598.0</v>
      </c>
      <c r="D14" s="31">
        <f t="shared" si="1"/>
        <v>26.5511599</v>
      </c>
      <c r="E14" s="26">
        <v>1.3985526E7</v>
      </c>
      <c r="F14" s="26">
        <v>4662451.0</v>
      </c>
      <c r="G14" s="31">
        <f t="shared" si="2"/>
        <v>33.33768784</v>
      </c>
      <c r="K14" s="34"/>
      <c r="M14" s="73"/>
    </row>
    <row r="15">
      <c r="A15" s="25" t="s">
        <v>50</v>
      </c>
      <c r="B15" s="26">
        <f>i_C6!B15</f>
        <v>2347582</v>
      </c>
      <c r="C15" s="26">
        <v>428969.0</v>
      </c>
      <c r="D15" s="31">
        <f t="shared" si="1"/>
        <v>18.27280155</v>
      </c>
      <c r="E15" s="26">
        <v>2538126.0</v>
      </c>
      <c r="F15" s="26">
        <v>645173.0</v>
      </c>
      <c r="G15" s="31">
        <f t="shared" si="2"/>
        <v>25.41926603</v>
      </c>
      <c r="K15" s="34"/>
      <c r="M15" s="73"/>
    </row>
    <row r="16">
      <c r="A16" s="25" t="s">
        <v>51</v>
      </c>
      <c r="B16" s="26">
        <f>i_C6!B16</f>
        <v>4528646</v>
      </c>
      <c r="C16" s="26">
        <v>755399.0</v>
      </c>
      <c r="D16" s="31">
        <f t="shared" si="1"/>
        <v>16.68046034</v>
      </c>
      <c r="E16" s="26">
        <v>4884805.0</v>
      </c>
      <c r="F16" s="26">
        <v>1482182.0</v>
      </c>
      <c r="G16" s="31">
        <f t="shared" si="2"/>
        <v>30.34270559</v>
      </c>
      <c r="K16" s="34"/>
      <c r="M16" s="73"/>
    </row>
    <row r="17">
      <c r="A17" s="25" t="s">
        <v>53</v>
      </c>
      <c r="B17" s="26">
        <f>i_C6!B17</f>
        <v>6087553</v>
      </c>
      <c r="C17" s="26">
        <v>1867548.0</v>
      </c>
      <c r="D17" s="31">
        <f t="shared" si="1"/>
        <v>30.67813948</v>
      </c>
      <c r="E17" s="26">
        <v>6586874.0</v>
      </c>
      <c r="F17" s="26">
        <v>2123279.0</v>
      </c>
      <c r="G17" s="31">
        <f t="shared" si="2"/>
        <v>32.23500252</v>
      </c>
      <c r="K17" s="34"/>
      <c r="M17" s="73"/>
    </row>
    <row r="18">
      <c r="A18" s="25" t="s">
        <v>54</v>
      </c>
      <c r="B18" s="26">
        <f>i_C6!B18</f>
        <v>6058752</v>
      </c>
      <c r="C18" s="26">
        <v>862487.0</v>
      </c>
      <c r="D18" s="31">
        <f t="shared" si="1"/>
        <v>14.23539039</v>
      </c>
      <c r="E18" s="26">
        <v>6668940.0</v>
      </c>
      <c r="F18" s="26">
        <v>2926034.0</v>
      </c>
      <c r="G18" s="31">
        <f t="shared" si="2"/>
        <v>43.87554844</v>
      </c>
      <c r="K18" s="34"/>
      <c r="M18" s="73"/>
    </row>
    <row r="19">
      <c r="A19" s="25" t="s">
        <v>56</v>
      </c>
      <c r="B19" s="26">
        <f>i_C6!B19</f>
        <v>3529248</v>
      </c>
      <c r="C19" s="26">
        <v>897910.0</v>
      </c>
      <c r="D19" s="31">
        <f t="shared" si="1"/>
        <v>25.44196384</v>
      </c>
      <c r="E19" s="26">
        <v>3864215.0</v>
      </c>
      <c r="F19" s="26">
        <v>1002766.0</v>
      </c>
      <c r="G19" s="31">
        <f t="shared" si="2"/>
        <v>25.95005713</v>
      </c>
      <c r="K19" s="34"/>
      <c r="M19" s="73"/>
    </row>
    <row r="20">
      <c r="A20" s="25" t="s">
        <v>57</v>
      </c>
      <c r="B20" s="26">
        <f>i_C6!B20</f>
        <v>2856878</v>
      </c>
      <c r="C20" s="26">
        <v>451095.0</v>
      </c>
      <c r="D20" s="31">
        <f t="shared" si="1"/>
        <v>15.78978871</v>
      </c>
      <c r="E20" s="26">
        <v>3062611.0</v>
      </c>
      <c r="F20" s="26">
        <v>819020.0</v>
      </c>
      <c r="G20" s="31">
        <f t="shared" si="2"/>
        <v>26.74254092</v>
      </c>
      <c r="K20" s="34"/>
      <c r="M20" s="73"/>
    </row>
    <row r="21" ht="15.75" customHeight="1">
      <c r="A21" s="25" t="s">
        <v>59</v>
      </c>
      <c r="B21" s="26">
        <f>i_C6!B21</f>
        <v>3802692</v>
      </c>
      <c r="C21" s="26">
        <v>533814.0</v>
      </c>
      <c r="D21" s="31">
        <f t="shared" si="1"/>
        <v>14.03779217</v>
      </c>
      <c r="E21" s="26">
        <v>4175626.0</v>
      </c>
      <c r="F21" s="26">
        <v>1148740.0</v>
      </c>
      <c r="G21" s="31">
        <f t="shared" si="2"/>
        <v>27.5106056</v>
      </c>
      <c r="K21" s="34"/>
      <c r="M21" s="73"/>
    </row>
    <row r="22" ht="15.75" customHeight="1">
      <c r="A22" s="25" t="s">
        <v>60</v>
      </c>
      <c r="B22" s="26">
        <f>i_C6!B22</f>
        <v>4022390</v>
      </c>
      <c r="C22" s="26">
        <v>777166.0</v>
      </c>
      <c r="D22" s="31">
        <f t="shared" si="1"/>
        <v>19.3210007</v>
      </c>
      <c r="E22" s="26">
        <v>4443602.0</v>
      </c>
      <c r="F22" s="26">
        <v>1136524.0</v>
      </c>
      <c r="G22" s="31">
        <f t="shared" si="2"/>
        <v>25.57663805</v>
      </c>
      <c r="K22" s="34"/>
      <c r="M22" s="73"/>
    </row>
    <row r="23" ht="15.75" customHeight="1">
      <c r="A23" s="25" t="s">
        <v>63</v>
      </c>
      <c r="B23" s="26">
        <f>i_C6!B23</f>
        <v>3705981</v>
      </c>
      <c r="C23" s="26">
        <v>797674.0</v>
      </c>
      <c r="D23" s="31">
        <f t="shared" si="1"/>
        <v>21.52396356</v>
      </c>
      <c r="E23" s="26">
        <v>3636167.0</v>
      </c>
      <c r="F23" s="26">
        <v>1018833.0</v>
      </c>
      <c r="G23" s="31">
        <f t="shared" si="2"/>
        <v>28.01942265</v>
      </c>
      <c r="K23" s="34"/>
      <c r="M23" s="73"/>
    </row>
    <row r="24" ht="15.75" customHeight="1">
      <c r="A24" s="25" t="s">
        <v>64</v>
      </c>
      <c r="B24" s="26">
        <f>i_C6!B24</f>
        <v>2050203</v>
      </c>
      <c r="C24" s="26">
        <v>426246.0</v>
      </c>
      <c r="D24" s="31">
        <f t="shared" si="1"/>
        <v>20.79042905</v>
      </c>
      <c r="E24" s="26">
        <v>2220907.0</v>
      </c>
      <c r="F24" s="26">
        <v>600272.0</v>
      </c>
      <c r="G24" s="31">
        <f t="shared" si="2"/>
        <v>27.02823666</v>
      </c>
      <c r="K24" s="34"/>
      <c r="M24" s="73"/>
    </row>
    <row r="25" ht="15.75" customHeight="1">
      <c r="A25" s="25" t="s">
        <v>65</v>
      </c>
      <c r="B25" s="26">
        <f>i_C6!B25</f>
        <v>2943119</v>
      </c>
      <c r="C25" s="26">
        <v>380509.0</v>
      </c>
      <c r="D25" s="31">
        <f t="shared" si="1"/>
        <v>12.92876707</v>
      </c>
      <c r="E25" s="26">
        <v>3746618.0</v>
      </c>
      <c r="F25" s="26">
        <v>242459.0</v>
      </c>
      <c r="G25" s="31">
        <f t="shared" si="2"/>
        <v>6.471409682</v>
      </c>
      <c r="K25" s="34"/>
      <c r="M25" s="73"/>
    </row>
    <row r="26" ht="15.75" customHeight="1">
      <c r="A26" s="28"/>
      <c r="B26" s="28"/>
      <c r="C26" s="28"/>
      <c r="D26" s="28"/>
      <c r="E26" s="28"/>
      <c r="F26" s="28"/>
      <c r="G26" s="28"/>
    </row>
    <row r="27" ht="15.75" customHeight="1">
      <c r="A27" s="9"/>
      <c r="B27" s="9"/>
      <c r="C27" s="9"/>
      <c r="D27" s="9"/>
      <c r="E27" s="9"/>
      <c r="F27" s="9"/>
      <c r="G27" s="9"/>
    </row>
    <row r="28" ht="15.75" customHeight="1">
      <c r="A28" s="29" t="s">
        <v>69</v>
      </c>
      <c r="B28" s="29"/>
      <c r="C28" s="29"/>
      <c r="D28" s="29"/>
      <c r="E28" s="29"/>
      <c r="F28" s="29"/>
      <c r="G28" s="29"/>
      <c r="H28" s="29"/>
      <c r="I28" s="29"/>
      <c r="J28" s="30"/>
      <c r="K28" s="30"/>
      <c r="L28" s="30"/>
      <c r="M28" s="30"/>
      <c r="N28" s="30"/>
      <c r="O28" s="30"/>
      <c r="P28" s="30"/>
    </row>
    <row r="29" ht="15.75" customHeight="1">
      <c r="A29" s="29" t="s">
        <v>72</v>
      </c>
      <c r="B29" s="29"/>
      <c r="C29" s="29"/>
      <c r="D29" s="29"/>
      <c r="E29" s="29"/>
      <c r="F29" s="29"/>
      <c r="G29" s="29"/>
      <c r="H29" s="29"/>
      <c r="I29" s="29"/>
      <c r="J29" s="30"/>
      <c r="K29" s="30"/>
      <c r="L29" s="30"/>
      <c r="M29" s="30"/>
      <c r="N29" s="30"/>
      <c r="O29" s="30"/>
      <c r="P29" s="30"/>
    </row>
    <row r="30" ht="15.75" customHeight="1">
      <c r="A30" s="29" t="s">
        <v>491</v>
      </c>
      <c r="B30" s="29"/>
      <c r="C30" s="29"/>
      <c r="D30" s="29"/>
      <c r="E30" s="29"/>
      <c r="F30" s="29"/>
      <c r="G30" s="29"/>
      <c r="H30" s="29"/>
      <c r="I30" s="29"/>
      <c r="J30" s="30"/>
      <c r="K30" s="30"/>
      <c r="L30" s="30"/>
      <c r="M30" s="30"/>
      <c r="N30" s="30"/>
      <c r="O30" s="30"/>
      <c r="P30" s="30"/>
    </row>
    <row r="31" ht="15.75" customHeight="1">
      <c r="A31" s="29" t="s">
        <v>492</v>
      </c>
      <c r="B31" s="29"/>
      <c r="C31" s="29"/>
      <c r="D31" s="29"/>
      <c r="E31" s="29"/>
      <c r="F31" s="29"/>
      <c r="G31" s="29"/>
      <c r="H31" s="29"/>
      <c r="I31" s="29"/>
      <c r="J31" s="30"/>
      <c r="K31" s="30"/>
      <c r="L31" s="30"/>
      <c r="M31" s="30"/>
      <c r="N31" s="30"/>
      <c r="O31" s="30"/>
      <c r="P31" s="30"/>
    </row>
    <row r="32" ht="15.75" customHeight="1">
      <c r="A32" s="32" t="s">
        <v>76</v>
      </c>
    </row>
    <row r="33" ht="15.75" customHeight="1">
      <c r="A33" s="32"/>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A32:P32"/>
    <mergeCell ref="A33:P33"/>
    <mergeCell ref="A4:A6"/>
    <mergeCell ref="B4:D4"/>
    <mergeCell ref="E4:G4"/>
    <mergeCell ref="B5:B6"/>
    <mergeCell ref="C5:D5"/>
    <mergeCell ref="E5:E6"/>
    <mergeCell ref="F5:G5"/>
  </mergeCells>
  <hyperlinks>
    <hyperlink display="BACK TO LIST" location="LIST!A1" ref="A1"/>
  </hyperlinks>
  <printOptions/>
  <pageMargins bottom="0.75" footer="0.0" header="0.0" left="0.7" right="0.7" top="0.75"/>
  <pageSetup paperSize="9" scale="63" orientation="portrait"/>
  <drawing r:id="rId1"/>
</worksheet>
</file>

<file path=xl/worksheets/sheet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9"/>
    <pageSetUpPr/>
  </sheetPr>
  <sheetViews>
    <sheetView workbookViewId="0"/>
  </sheetViews>
  <sheetFormatPr customHeight="1" defaultColWidth="12.63" defaultRowHeight="15.0"/>
  <cols>
    <col customWidth="1" min="1" max="1" width="39.0"/>
    <col customWidth="1" min="2" max="7" width="14.0"/>
    <col customWidth="1" min="8" max="26" width="8.63"/>
  </cols>
  <sheetData>
    <row r="1">
      <c r="A1" s="5" t="s">
        <v>1</v>
      </c>
      <c r="B1" s="5"/>
      <c r="C1" s="5"/>
      <c r="D1" s="5"/>
    </row>
    <row r="2" ht="15.0" customHeight="1">
      <c r="A2" s="33" t="s">
        <v>488</v>
      </c>
      <c r="B2" s="33"/>
      <c r="C2" s="33"/>
      <c r="D2" s="33"/>
      <c r="E2" s="53"/>
      <c r="F2" s="53"/>
      <c r="G2" s="53"/>
    </row>
    <row r="3">
      <c r="A3" s="8"/>
      <c r="B3" s="8"/>
      <c r="C3" s="8"/>
      <c r="D3" s="8"/>
      <c r="E3" s="9"/>
      <c r="F3" s="9"/>
      <c r="G3" s="9"/>
    </row>
    <row r="4">
      <c r="A4" s="10" t="s">
        <v>13</v>
      </c>
      <c r="B4" s="72">
        <v>2019.0</v>
      </c>
      <c r="C4" s="14"/>
      <c r="D4" s="15"/>
      <c r="E4" s="72">
        <v>2024.0</v>
      </c>
      <c r="F4" s="14"/>
      <c r="G4" s="15"/>
    </row>
    <row r="5" ht="30.0" customHeight="1">
      <c r="A5" s="17"/>
      <c r="B5" s="21" t="s">
        <v>143</v>
      </c>
      <c r="C5" s="13" t="s">
        <v>489</v>
      </c>
      <c r="D5" s="15"/>
      <c r="E5" s="21" t="s">
        <v>490</v>
      </c>
      <c r="F5" s="13" t="s">
        <v>489</v>
      </c>
      <c r="G5" s="15"/>
    </row>
    <row r="6">
      <c r="A6" s="18"/>
      <c r="B6" s="18"/>
      <c r="C6" s="24" t="s">
        <v>37</v>
      </c>
      <c r="D6" s="24" t="s">
        <v>39</v>
      </c>
      <c r="E6" s="18"/>
      <c r="F6" s="24" t="s">
        <v>37</v>
      </c>
      <c r="G6" s="24" t="s">
        <v>39</v>
      </c>
    </row>
    <row r="7">
      <c r="A7" s="16"/>
      <c r="B7" s="16"/>
      <c r="C7" s="16"/>
      <c r="D7" s="16"/>
      <c r="E7" s="20"/>
      <c r="F7" s="20"/>
      <c r="G7" s="20"/>
    </row>
    <row r="8">
      <c r="A8" s="22" t="s">
        <v>33</v>
      </c>
      <c r="B8" s="23">
        <f>i_C6!B8</f>
        <v>83258836</v>
      </c>
      <c r="C8" s="23">
        <v>2.5893871700683996E7</v>
      </c>
      <c r="D8" s="27">
        <f t="shared" ref="D8:D25" si="1">(C8/$B8)*100</f>
        <v>31.10044885</v>
      </c>
      <c r="E8" s="23">
        <v>3.88161E7</v>
      </c>
      <c r="F8" s="23">
        <v>2.4254373E7</v>
      </c>
      <c r="G8" s="27">
        <f t="shared" ref="G8:G25" si="2">(F8/$E8)*100</f>
        <v>62.48534242</v>
      </c>
    </row>
    <row r="9">
      <c r="A9" s="25" t="s">
        <v>38</v>
      </c>
      <c r="B9" s="26">
        <f>i_C6!B9</f>
        <v>11005073</v>
      </c>
      <c r="C9" s="26">
        <v>4816365.906710006</v>
      </c>
      <c r="D9" s="31">
        <f t="shared" si="1"/>
        <v>43.764961</v>
      </c>
      <c r="E9" s="26">
        <v>7666342.0</v>
      </c>
      <c r="F9" s="26">
        <v>5100062.0</v>
      </c>
      <c r="G9" s="31">
        <f t="shared" si="2"/>
        <v>66.52536503</v>
      </c>
    </row>
    <row r="10">
      <c r="A10" s="25" t="s">
        <v>41</v>
      </c>
      <c r="B10" s="26">
        <f>i_C6!B10</f>
        <v>1394660</v>
      </c>
      <c r="C10" s="26">
        <v>511032.2371860004</v>
      </c>
      <c r="D10" s="31">
        <f t="shared" si="1"/>
        <v>36.64206596</v>
      </c>
      <c r="E10" s="26">
        <v>538875.0</v>
      </c>
      <c r="F10" s="26">
        <v>230612.0</v>
      </c>
      <c r="G10" s="31">
        <f t="shared" si="2"/>
        <v>42.79508235</v>
      </c>
    </row>
    <row r="11">
      <c r="A11" s="25" t="s">
        <v>43</v>
      </c>
      <c r="B11" s="26">
        <f>i_C6!B11</f>
        <v>4063052</v>
      </c>
      <c r="C11" s="26">
        <v>1281726.4826899974</v>
      </c>
      <c r="D11" s="31">
        <f t="shared" si="1"/>
        <v>31.54590398</v>
      </c>
      <c r="E11" s="26">
        <v>1825567.0</v>
      </c>
      <c r="F11" s="26">
        <v>1011111.0</v>
      </c>
      <c r="G11" s="31">
        <f t="shared" si="2"/>
        <v>55.38613483</v>
      </c>
    </row>
    <row r="12">
      <c r="A12" s="25" t="s">
        <v>44</v>
      </c>
      <c r="B12" s="26">
        <f>i_C6!B12</f>
        <v>2820240</v>
      </c>
      <c r="C12" s="26">
        <v>1044329.1403549989</v>
      </c>
      <c r="D12" s="31">
        <f t="shared" si="1"/>
        <v>37.02979677</v>
      </c>
      <c r="E12" s="26">
        <v>1323982.0</v>
      </c>
      <c r="F12" s="26">
        <v>685557.0</v>
      </c>
      <c r="G12" s="31">
        <f t="shared" si="2"/>
        <v>51.77993356</v>
      </c>
    </row>
    <row r="13">
      <c r="A13" s="25" t="s">
        <v>46</v>
      </c>
      <c r="B13" s="26">
        <f>i_C6!B13</f>
        <v>9585315</v>
      </c>
      <c r="C13" s="26">
        <v>3981460.4818999977</v>
      </c>
      <c r="D13" s="31">
        <f t="shared" si="1"/>
        <v>41.53708545</v>
      </c>
      <c r="E13" s="26">
        <v>4937324.0</v>
      </c>
      <c r="F13" s="26">
        <v>3310766.0</v>
      </c>
      <c r="G13" s="31">
        <f t="shared" si="2"/>
        <v>67.05587885</v>
      </c>
    </row>
    <row r="14">
      <c r="A14" s="25" t="s">
        <v>48</v>
      </c>
      <c r="B14" s="26">
        <f>i_C6!B14</f>
        <v>12457452</v>
      </c>
      <c r="C14" s="26">
        <v>3739611.992689995</v>
      </c>
      <c r="D14" s="31">
        <f t="shared" si="1"/>
        <v>30.01907607</v>
      </c>
      <c r="E14" s="26">
        <v>7725932.0</v>
      </c>
      <c r="F14" s="26">
        <v>4516451.0</v>
      </c>
      <c r="G14" s="31">
        <f t="shared" si="2"/>
        <v>58.45833228</v>
      </c>
    </row>
    <row r="15">
      <c r="A15" s="25" t="s">
        <v>50</v>
      </c>
      <c r="B15" s="26">
        <f>i_C6!B15</f>
        <v>2347582</v>
      </c>
      <c r="C15" s="26">
        <v>670863.7228299988</v>
      </c>
      <c r="D15" s="31">
        <f t="shared" si="1"/>
        <v>28.57679616</v>
      </c>
      <c r="E15" s="26">
        <v>1197112.0</v>
      </c>
      <c r="F15" s="26">
        <v>883993.0</v>
      </c>
      <c r="G15" s="31">
        <f t="shared" si="2"/>
        <v>73.84380075</v>
      </c>
    </row>
    <row r="16">
      <c r="A16" s="25" t="s">
        <v>51</v>
      </c>
      <c r="B16" s="26">
        <f>i_C6!B16</f>
        <v>4528646</v>
      </c>
      <c r="C16" s="26">
        <v>1149196.7936409996</v>
      </c>
      <c r="D16" s="31">
        <f t="shared" si="1"/>
        <v>25.37616748</v>
      </c>
      <c r="E16" s="26">
        <v>1719477.0</v>
      </c>
      <c r="F16" s="26">
        <v>1239242.0</v>
      </c>
      <c r="G16" s="31">
        <f t="shared" si="2"/>
        <v>72.07086806</v>
      </c>
    </row>
    <row r="17">
      <c r="A17" s="25" t="s">
        <v>53</v>
      </c>
      <c r="B17" s="26">
        <f>i_C6!B17</f>
        <v>6087553</v>
      </c>
      <c r="C17" s="26">
        <v>1818637.8951000033</v>
      </c>
      <c r="D17" s="31">
        <f t="shared" si="1"/>
        <v>29.87469506</v>
      </c>
      <c r="E17" s="26">
        <v>1728906.0</v>
      </c>
      <c r="F17" s="26">
        <v>1046622.0</v>
      </c>
      <c r="G17" s="31">
        <f t="shared" si="2"/>
        <v>60.53666307</v>
      </c>
    </row>
    <row r="18">
      <c r="A18" s="25" t="s">
        <v>54</v>
      </c>
      <c r="B18" s="26">
        <f>i_C6!B18</f>
        <v>6058752</v>
      </c>
      <c r="C18" s="26">
        <v>972459.1378600001</v>
      </c>
      <c r="D18" s="31">
        <f t="shared" si="1"/>
        <v>16.05048594</v>
      </c>
      <c r="E18" s="26">
        <v>2297011.0</v>
      </c>
      <c r="F18" s="26">
        <v>1391461.0</v>
      </c>
      <c r="G18" s="31">
        <f t="shared" si="2"/>
        <v>60.57702815</v>
      </c>
    </row>
    <row r="19">
      <c r="A19" s="25" t="s">
        <v>56</v>
      </c>
      <c r="B19" s="26">
        <f>i_C6!B19</f>
        <v>3529248</v>
      </c>
      <c r="C19" s="26">
        <v>1161855.0270539986</v>
      </c>
      <c r="D19" s="31">
        <f t="shared" si="1"/>
        <v>32.92075329</v>
      </c>
      <c r="E19" s="26">
        <v>1659221.0</v>
      </c>
      <c r="F19" s="26">
        <v>1110528.0</v>
      </c>
      <c r="G19" s="31">
        <f t="shared" si="2"/>
        <v>66.93068615</v>
      </c>
    </row>
    <row r="20">
      <c r="A20" s="25" t="s">
        <v>57</v>
      </c>
      <c r="B20" s="26">
        <f>i_C6!B20</f>
        <v>2856878</v>
      </c>
      <c r="C20" s="26">
        <v>638952.5448000011</v>
      </c>
      <c r="D20" s="31">
        <f t="shared" si="1"/>
        <v>22.36541234</v>
      </c>
      <c r="E20" s="26">
        <v>567390.0</v>
      </c>
      <c r="F20" s="26">
        <v>202605.0</v>
      </c>
      <c r="G20" s="31">
        <f t="shared" si="2"/>
        <v>35.70824301</v>
      </c>
    </row>
    <row r="21" ht="15.75" customHeight="1">
      <c r="A21" s="25" t="s">
        <v>59</v>
      </c>
      <c r="B21" s="26">
        <f>i_C6!B21</f>
        <v>3802692</v>
      </c>
      <c r="C21" s="26">
        <v>625562.1323299992</v>
      </c>
      <c r="D21" s="31">
        <f t="shared" si="1"/>
        <v>16.45050749</v>
      </c>
      <c r="E21" s="26">
        <v>1494368.0</v>
      </c>
      <c r="F21" s="26">
        <v>907026.0</v>
      </c>
      <c r="G21" s="31">
        <f t="shared" si="2"/>
        <v>60.69629435</v>
      </c>
    </row>
    <row r="22" ht="15.75" customHeight="1">
      <c r="A22" s="25" t="s">
        <v>60</v>
      </c>
      <c r="B22" s="26">
        <f>i_C6!B22</f>
        <v>4022390</v>
      </c>
      <c r="C22" s="26">
        <v>1257806.3099999996</v>
      </c>
      <c r="D22" s="31">
        <f t="shared" si="1"/>
        <v>31.27012324</v>
      </c>
      <c r="E22" s="26">
        <v>1603772.0</v>
      </c>
      <c r="F22" s="26">
        <v>1063966.0</v>
      </c>
      <c r="G22" s="31">
        <f t="shared" si="2"/>
        <v>66.34147497</v>
      </c>
    </row>
    <row r="23" ht="15.75" customHeight="1">
      <c r="A23" s="25" t="s">
        <v>63</v>
      </c>
      <c r="B23" s="26">
        <f>i_C6!B23</f>
        <v>3705981</v>
      </c>
      <c r="C23" s="26">
        <v>1175824.8011899982</v>
      </c>
      <c r="D23" s="31">
        <f t="shared" si="1"/>
        <v>31.72776118</v>
      </c>
      <c r="E23" s="26">
        <v>1566119.0</v>
      </c>
      <c r="F23" s="26">
        <v>978371.0</v>
      </c>
      <c r="G23" s="31">
        <f t="shared" si="2"/>
        <v>62.47105105</v>
      </c>
    </row>
    <row r="24" ht="15.75" customHeight="1">
      <c r="A24" s="25" t="s">
        <v>64</v>
      </c>
      <c r="B24" s="26">
        <f>i_C6!B24</f>
        <v>2050203</v>
      </c>
      <c r="C24" s="26">
        <v>698996.4188900018</v>
      </c>
      <c r="D24" s="31">
        <f t="shared" si="1"/>
        <v>34.09401015</v>
      </c>
      <c r="E24" s="26">
        <v>592583.0</v>
      </c>
      <c r="F24" s="26">
        <v>390977.0</v>
      </c>
      <c r="G24" s="31">
        <f t="shared" si="2"/>
        <v>65.97843678</v>
      </c>
    </row>
    <row r="25" ht="15.75" customHeight="1">
      <c r="A25" s="25" t="s">
        <v>65</v>
      </c>
      <c r="B25" s="26">
        <f>i_C6!B25</f>
        <v>2943119</v>
      </c>
      <c r="C25" s="26">
        <v>349190.6754580002</v>
      </c>
      <c r="D25" s="31">
        <f t="shared" si="1"/>
        <v>11.86464684</v>
      </c>
      <c r="E25" s="26">
        <v>372118.0</v>
      </c>
      <c r="F25" s="26">
        <v>185021.0</v>
      </c>
      <c r="G25" s="31">
        <f t="shared" si="2"/>
        <v>49.72105622</v>
      </c>
    </row>
    <row r="26" ht="15.75" customHeight="1">
      <c r="A26" s="28"/>
      <c r="B26" s="28"/>
      <c r="C26" s="28"/>
      <c r="D26" s="28"/>
      <c r="E26" s="28"/>
      <c r="F26" s="28"/>
      <c r="G26" s="28"/>
    </row>
    <row r="27" ht="15.75" customHeight="1">
      <c r="A27" s="9"/>
      <c r="B27" s="9"/>
      <c r="C27" s="9"/>
      <c r="D27" s="9"/>
      <c r="E27" s="9"/>
      <c r="F27" s="9"/>
      <c r="G27" s="9"/>
    </row>
    <row r="28" ht="15.75" customHeight="1">
      <c r="A28" s="29" t="s">
        <v>69</v>
      </c>
      <c r="B28" s="29"/>
      <c r="C28" s="29"/>
      <c r="D28" s="29"/>
      <c r="E28" s="29"/>
      <c r="F28" s="29"/>
      <c r="G28" s="29"/>
    </row>
    <row r="29" ht="15.75" customHeight="1">
      <c r="A29" s="29" t="s">
        <v>72</v>
      </c>
      <c r="B29" s="29"/>
      <c r="C29" s="29"/>
      <c r="D29" s="29"/>
      <c r="E29" s="29"/>
      <c r="F29" s="29"/>
      <c r="G29" s="29"/>
    </row>
    <row r="30" ht="15.75" customHeight="1">
      <c r="A30" s="29" t="s">
        <v>502</v>
      </c>
      <c r="B30" s="29"/>
      <c r="C30" s="29"/>
      <c r="D30" s="29"/>
      <c r="E30" s="29"/>
      <c r="F30" s="29"/>
      <c r="G30" s="29"/>
    </row>
    <row r="31" ht="15.75" customHeight="1">
      <c r="A31" s="32" t="s">
        <v>76</v>
      </c>
    </row>
    <row r="32" ht="15.75" customHeight="1">
      <c r="A32" s="32"/>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A31:G31"/>
    <mergeCell ref="A32:G32"/>
    <mergeCell ref="A4:A6"/>
    <mergeCell ref="B4:D4"/>
    <mergeCell ref="E4:G4"/>
    <mergeCell ref="B5:B6"/>
    <mergeCell ref="C5:D5"/>
    <mergeCell ref="E5:E6"/>
    <mergeCell ref="F5:G5"/>
  </mergeCells>
  <hyperlinks>
    <hyperlink display="BACK TO LIST" location="LIST!A1" ref="A1"/>
  </hyperlinks>
  <printOptions/>
  <pageMargins bottom="0.75" footer="0.0" header="0.0" left="0.7" right="0.7" top="0.75"/>
  <pageSetup paperSize="9" scale="63" orientation="portrait"/>
  <drawing r:id="rId1"/>
</worksheet>
</file>

<file path=xl/worksheets/sheet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9"/>
    <pageSetUpPr/>
  </sheetPr>
  <sheetViews>
    <sheetView workbookViewId="0"/>
  </sheetViews>
  <sheetFormatPr customHeight="1" defaultColWidth="12.63" defaultRowHeight="15.0"/>
  <cols>
    <col customWidth="1" min="1" max="1" width="39.0"/>
    <col customWidth="1" min="2" max="2" width="21.13"/>
    <col customWidth="1" min="3" max="16" width="14.0"/>
    <col customWidth="1" min="17" max="26" width="8.63"/>
  </cols>
  <sheetData>
    <row r="1">
      <c r="A1" s="5" t="s">
        <v>1</v>
      </c>
    </row>
    <row r="2">
      <c r="A2" s="33" t="s">
        <v>493</v>
      </c>
      <c r="B2" s="53"/>
      <c r="C2" s="53"/>
      <c r="D2" s="53"/>
      <c r="E2" s="53"/>
      <c r="F2" s="53"/>
      <c r="I2" s="53"/>
      <c r="J2" s="53"/>
      <c r="K2" s="53"/>
      <c r="L2" s="53"/>
      <c r="O2" s="53"/>
      <c r="P2" s="53"/>
    </row>
    <row r="3">
      <c r="A3" s="8"/>
      <c r="B3" s="9"/>
      <c r="C3" s="9"/>
      <c r="D3" s="9"/>
      <c r="E3" s="9"/>
      <c r="F3" s="9"/>
      <c r="G3" s="9"/>
      <c r="H3" s="9"/>
      <c r="I3" s="9"/>
      <c r="J3" s="9"/>
      <c r="K3" s="9"/>
      <c r="L3" s="9"/>
      <c r="M3" s="9"/>
      <c r="N3" s="9"/>
      <c r="O3" s="9"/>
      <c r="P3" s="9"/>
    </row>
    <row r="4">
      <c r="A4" s="10" t="s">
        <v>13</v>
      </c>
      <c r="B4" s="42">
        <v>2019.0</v>
      </c>
      <c r="C4" s="14"/>
      <c r="D4" s="14"/>
      <c r="E4" s="14"/>
      <c r="F4" s="14"/>
      <c r="G4" s="14"/>
      <c r="H4" s="14"/>
      <c r="I4" s="14"/>
      <c r="J4" s="14"/>
      <c r="K4" s="14"/>
      <c r="L4" s="14"/>
      <c r="M4" s="14"/>
      <c r="N4" s="14"/>
      <c r="O4" s="14"/>
      <c r="P4" s="15"/>
    </row>
    <row r="5" ht="30.0" customHeight="1">
      <c r="A5" s="17"/>
      <c r="B5" s="21" t="s">
        <v>494</v>
      </c>
      <c r="C5" s="13" t="s">
        <v>495</v>
      </c>
      <c r="D5" s="15"/>
      <c r="E5" s="13" t="s">
        <v>496</v>
      </c>
      <c r="F5" s="15"/>
      <c r="G5" s="13" t="s">
        <v>497</v>
      </c>
      <c r="H5" s="15"/>
      <c r="I5" s="13" t="s">
        <v>498</v>
      </c>
      <c r="J5" s="15"/>
      <c r="K5" s="13" t="s">
        <v>499</v>
      </c>
      <c r="L5" s="15"/>
      <c r="M5" s="13" t="s">
        <v>500</v>
      </c>
      <c r="N5" s="15"/>
      <c r="O5" s="13" t="s">
        <v>501</v>
      </c>
      <c r="P5" s="15"/>
    </row>
    <row r="6">
      <c r="A6" s="18"/>
      <c r="B6" s="18"/>
      <c r="C6" s="24" t="s">
        <v>37</v>
      </c>
      <c r="D6" s="24" t="s">
        <v>39</v>
      </c>
      <c r="E6" s="24" t="s">
        <v>37</v>
      </c>
      <c r="F6" s="24" t="s">
        <v>39</v>
      </c>
      <c r="G6" s="24" t="s">
        <v>37</v>
      </c>
      <c r="H6" s="24" t="s">
        <v>39</v>
      </c>
      <c r="I6" s="24" t="s">
        <v>37</v>
      </c>
      <c r="J6" s="24" t="s">
        <v>39</v>
      </c>
      <c r="K6" s="24" t="s">
        <v>37</v>
      </c>
      <c r="L6" s="24" t="s">
        <v>39</v>
      </c>
      <c r="M6" s="24" t="s">
        <v>37</v>
      </c>
      <c r="N6" s="24" t="s">
        <v>39</v>
      </c>
      <c r="O6" s="24" t="s">
        <v>37</v>
      </c>
      <c r="P6" s="24" t="s">
        <v>39</v>
      </c>
    </row>
    <row r="7">
      <c r="A7" s="16"/>
      <c r="B7" s="20"/>
      <c r="C7" s="20"/>
      <c r="D7" s="20"/>
      <c r="E7" s="20"/>
      <c r="F7" s="20"/>
      <c r="G7" s="20"/>
      <c r="H7" s="20"/>
      <c r="I7" s="20"/>
      <c r="J7" s="20"/>
      <c r="K7" s="20"/>
      <c r="L7" s="20"/>
      <c r="M7" s="20"/>
      <c r="N7" s="20"/>
      <c r="O7" s="20"/>
      <c r="P7" s="20"/>
    </row>
    <row r="8">
      <c r="A8" s="22" t="s">
        <v>33</v>
      </c>
      <c r="B8" s="23">
        <f>i_F6!C8</f>
        <v>25893871.7</v>
      </c>
      <c r="C8" s="23">
        <v>202752.57839299997</v>
      </c>
      <c r="D8" s="27">
        <f t="shared" ref="D8:D25" si="1">(C8/$B8)*100</f>
        <v>0.7830137599</v>
      </c>
      <c r="E8" s="23">
        <v>1.0317842076517994E7</v>
      </c>
      <c r="F8" s="27">
        <f t="shared" ref="F8:F25" si="2">(E8/$B8)*100</f>
        <v>39.84665637</v>
      </c>
      <c r="G8" s="23">
        <v>823665.301553</v>
      </c>
      <c r="H8" s="27">
        <f t="shared" ref="H8:H25" si="3">(G8/$B8)*100</f>
        <v>3.180927561</v>
      </c>
      <c r="I8" s="23">
        <v>144166.87996599998</v>
      </c>
      <c r="J8" s="27">
        <f t="shared" ref="J8:J25" si="4">(I8/$B8)*100</f>
        <v>0.5567606175</v>
      </c>
      <c r="K8" s="23">
        <v>204635.75184400004</v>
      </c>
      <c r="L8" s="27">
        <f t="shared" ref="L8:L25" si="5">(K8/$B8)*100</f>
        <v>0.7902864207</v>
      </c>
      <c r="M8" s="23">
        <v>29553.75952</v>
      </c>
      <c r="N8" s="27">
        <f t="shared" ref="N8:N25" si="6">(M8/$B8)*100</f>
        <v>0.1141341853</v>
      </c>
      <c r="O8" s="23">
        <v>316058.22040399996</v>
      </c>
      <c r="P8" s="27">
        <f t="shared" ref="P8:P25" si="7">(O8/$B8)*100</f>
        <v>1.220590818</v>
      </c>
    </row>
    <row r="9">
      <c r="A9" s="25" t="s">
        <v>38</v>
      </c>
      <c r="B9" s="26">
        <f>i_F6!C9</f>
        <v>4816365.907</v>
      </c>
      <c r="C9" s="26">
        <v>37738.26364</v>
      </c>
      <c r="D9" s="31">
        <f t="shared" si="1"/>
        <v>0.7835422883</v>
      </c>
      <c r="E9" s="26">
        <v>1775674.5967600008</v>
      </c>
      <c r="F9" s="31">
        <f t="shared" si="2"/>
        <v>36.86751861</v>
      </c>
      <c r="G9" s="26">
        <v>194194.79210999998</v>
      </c>
      <c r="H9" s="31">
        <f t="shared" si="3"/>
        <v>4.031977551</v>
      </c>
      <c r="I9" s="26">
        <v>25886.60371</v>
      </c>
      <c r="J9" s="31">
        <f t="shared" si="4"/>
        <v>0.5374716999</v>
      </c>
      <c r="K9" s="26">
        <v>27775.756900000004</v>
      </c>
      <c r="L9" s="31">
        <f t="shared" si="5"/>
        <v>0.5766953225</v>
      </c>
      <c r="M9" s="26">
        <v>4933.772870000001</v>
      </c>
      <c r="N9" s="31">
        <f t="shared" si="6"/>
        <v>0.102437667</v>
      </c>
      <c r="O9" s="26">
        <v>30974.82713</v>
      </c>
      <c r="P9" s="31">
        <f t="shared" si="7"/>
        <v>0.6431161529</v>
      </c>
    </row>
    <row r="10">
      <c r="A10" s="25" t="s">
        <v>41</v>
      </c>
      <c r="B10" s="26">
        <f>i_F6!C10</f>
        <v>511032.2372</v>
      </c>
      <c r="C10" s="26">
        <v>3777.9063190000006</v>
      </c>
      <c r="D10" s="31">
        <f t="shared" si="1"/>
        <v>0.7392696672</v>
      </c>
      <c r="E10" s="26">
        <v>97292.809525</v>
      </c>
      <c r="F10" s="31">
        <f t="shared" si="2"/>
        <v>19.03848768</v>
      </c>
      <c r="G10" s="26">
        <v>2134.72033</v>
      </c>
      <c r="H10" s="31">
        <f t="shared" si="3"/>
        <v>0.4177271363</v>
      </c>
      <c r="I10" s="26">
        <v>757.82272</v>
      </c>
      <c r="J10" s="31">
        <f t="shared" si="4"/>
        <v>0.1482925469</v>
      </c>
      <c r="K10" s="26">
        <v>158.73653</v>
      </c>
      <c r="L10" s="31">
        <f t="shared" si="5"/>
        <v>0.03106194061</v>
      </c>
      <c r="M10" s="26">
        <v>2165.7162099999996</v>
      </c>
      <c r="N10" s="31">
        <f t="shared" si="6"/>
        <v>0.4237924836</v>
      </c>
      <c r="O10" s="26">
        <v>1292.54929</v>
      </c>
      <c r="P10" s="31">
        <f t="shared" si="7"/>
        <v>0.2529291101</v>
      </c>
    </row>
    <row r="11">
      <c r="A11" s="25" t="s">
        <v>43</v>
      </c>
      <c r="B11" s="26">
        <f>i_F6!C11</f>
        <v>1281726.483</v>
      </c>
      <c r="C11" s="26">
        <v>11245.296599999998</v>
      </c>
      <c r="D11" s="31">
        <f t="shared" si="1"/>
        <v>0.8773554071</v>
      </c>
      <c r="E11" s="26">
        <v>58526.76310999998</v>
      </c>
      <c r="F11" s="31">
        <f t="shared" si="2"/>
        <v>4.566244351</v>
      </c>
      <c r="G11" s="26">
        <v>15276.718190000001</v>
      </c>
      <c r="H11" s="31">
        <f t="shared" si="3"/>
        <v>1.191885975</v>
      </c>
      <c r="I11" s="26">
        <v>0.0</v>
      </c>
      <c r="J11" s="31">
        <f t="shared" si="4"/>
        <v>0</v>
      </c>
      <c r="K11" s="26">
        <v>6264.3077</v>
      </c>
      <c r="L11" s="31">
        <f t="shared" si="5"/>
        <v>0.4887398197</v>
      </c>
      <c r="M11" s="26">
        <v>2975.4993</v>
      </c>
      <c r="N11" s="31">
        <f t="shared" si="6"/>
        <v>0.2321477585</v>
      </c>
      <c r="O11" s="26">
        <v>4036.87739</v>
      </c>
      <c r="P11" s="31">
        <f t="shared" si="7"/>
        <v>0.3149562285</v>
      </c>
    </row>
    <row r="12">
      <c r="A12" s="25" t="s">
        <v>44</v>
      </c>
      <c r="B12" s="26">
        <f>i_F6!C12</f>
        <v>1044329.14</v>
      </c>
      <c r="C12" s="26">
        <v>2795.143038</v>
      </c>
      <c r="D12" s="31">
        <f t="shared" si="1"/>
        <v>0.267649626</v>
      </c>
      <c r="E12" s="26">
        <v>42454.69692899994</v>
      </c>
      <c r="F12" s="31">
        <f t="shared" si="2"/>
        <v>4.065260203</v>
      </c>
      <c r="G12" s="26">
        <v>5023.486867</v>
      </c>
      <c r="H12" s="31">
        <f t="shared" si="3"/>
        <v>0.4810252508</v>
      </c>
      <c r="I12" s="26">
        <v>4303.896026</v>
      </c>
      <c r="J12" s="31">
        <f t="shared" si="4"/>
        <v>0.4121206485</v>
      </c>
      <c r="K12" s="26">
        <v>2252.2687699999997</v>
      </c>
      <c r="L12" s="31">
        <f t="shared" si="5"/>
        <v>0.2156665636</v>
      </c>
      <c r="M12" s="26">
        <v>0.0</v>
      </c>
      <c r="N12" s="31">
        <f t="shared" si="6"/>
        <v>0</v>
      </c>
      <c r="O12" s="26">
        <v>5396.634494</v>
      </c>
      <c r="P12" s="31">
        <f t="shared" si="7"/>
        <v>0.5167560959</v>
      </c>
    </row>
    <row r="13">
      <c r="A13" s="25" t="s">
        <v>46</v>
      </c>
      <c r="B13" s="26">
        <f>i_F6!C13</f>
        <v>3981460.482</v>
      </c>
      <c r="C13" s="26">
        <v>35778.79219</v>
      </c>
      <c r="D13" s="31">
        <f t="shared" si="1"/>
        <v>0.8986348691</v>
      </c>
      <c r="E13" s="26">
        <v>2521508.123939992</v>
      </c>
      <c r="F13" s="31">
        <f t="shared" si="2"/>
        <v>63.33123575</v>
      </c>
      <c r="G13" s="26">
        <v>119489.61606999999</v>
      </c>
      <c r="H13" s="31">
        <f t="shared" si="3"/>
        <v>3.001150372</v>
      </c>
      <c r="I13" s="26">
        <v>37501.76490000001</v>
      </c>
      <c r="J13" s="31">
        <f t="shared" si="4"/>
        <v>0.9419097608</v>
      </c>
      <c r="K13" s="26">
        <v>24995.639030000002</v>
      </c>
      <c r="L13" s="31">
        <f t="shared" si="5"/>
        <v>0.6278007566</v>
      </c>
      <c r="M13" s="26">
        <v>4118.59681</v>
      </c>
      <c r="N13" s="31">
        <f t="shared" si="6"/>
        <v>0.1034443725</v>
      </c>
      <c r="O13" s="26">
        <v>76248.43356</v>
      </c>
      <c r="P13" s="31">
        <f t="shared" si="7"/>
        <v>1.915087037</v>
      </c>
    </row>
    <row r="14">
      <c r="A14" s="25" t="s">
        <v>48</v>
      </c>
      <c r="B14" s="26">
        <f>i_F6!C14</f>
        <v>3739611.993</v>
      </c>
      <c r="C14" s="26">
        <v>45050.2018</v>
      </c>
      <c r="D14" s="31">
        <f t="shared" si="1"/>
        <v>1.20467583</v>
      </c>
      <c r="E14" s="26">
        <v>1879267.84939</v>
      </c>
      <c r="F14" s="31">
        <f t="shared" si="2"/>
        <v>50.25301697</v>
      </c>
      <c r="G14" s="26">
        <v>315684.53726</v>
      </c>
      <c r="H14" s="31">
        <f t="shared" si="3"/>
        <v>8.441638808</v>
      </c>
      <c r="I14" s="26">
        <v>39855.0413</v>
      </c>
      <c r="J14" s="31">
        <f t="shared" si="4"/>
        <v>1.065753382</v>
      </c>
      <c r="K14" s="26">
        <v>84288.67560000002</v>
      </c>
      <c r="L14" s="31">
        <f t="shared" si="5"/>
        <v>2.25394174</v>
      </c>
      <c r="M14" s="26">
        <v>14257.013599999998</v>
      </c>
      <c r="N14" s="31">
        <f t="shared" si="6"/>
        <v>0.3812431244</v>
      </c>
      <c r="O14" s="26">
        <v>132347.56989999997</v>
      </c>
      <c r="P14" s="31">
        <f t="shared" si="7"/>
        <v>3.53907224</v>
      </c>
    </row>
    <row r="15">
      <c r="A15" s="25" t="s">
        <v>50</v>
      </c>
      <c r="B15" s="26">
        <f>i_F6!C15</f>
        <v>670863.7228</v>
      </c>
      <c r="C15" s="26">
        <v>9180.83625</v>
      </c>
      <c r="D15" s="31">
        <f t="shared" si="1"/>
        <v>1.368509868</v>
      </c>
      <c r="E15" s="26">
        <v>269409.67545999994</v>
      </c>
      <c r="F15" s="31">
        <f t="shared" si="2"/>
        <v>40.15862929</v>
      </c>
      <c r="G15" s="26">
        <v>38864.38260000001</v>
      </c>
      <c r="H15" s="31">
        <f t="shared" si="3"/>
        <v>5.7931859</v>
      </c>
      <c r="I15" s="26">
        <v>3337.68641</v>
      </c>
      <c r="J15" s="31">
        <f t="shared" si="4"/>
        <v>0.4975207775</v>
      </c>
      <c r="K15" s="26">
        <v>5678.1579</v>
      </c>
      <c r="L15" s="31">
        <f t="shared" si="5"/>
        <v>0.8463951331</v>
      </c>
      <c r="M15" s="26">
        <v>995.99988</v>
      </c>
      <c r="N15" s="31">
        <f t="shared" si="6"/>
        <v>0.1484653062</v>
      </c>
      <c r="O15" s="26">
        <v>19311.254090000002</v>
      </c>
      <c r="P15" s="31">
        <f t="shared" si="7"/>
        <v>2.87856586</v>
      </c>
    </row>
    <row r="16">
      <c r="A16" s="25" t="s">
        <v>51</v>
      </c>
      <c r="B16" s="26">
        <f>i_F6!C16</f>
        <v>1149196.794</v>
      </c>
      <c r="C16" s="26">
        <v>8842.7373</v>
      </c>
      <c r="D16" s="31">
        <f t="shared" si="1"/>
        <v>0.7694711079</v>
      </c>
      <c r="E16" s="26">
        <v>88289.58548000004</v>
      </c>
      <c r="F16" s="31">
        <f t="shared" si="2"/>
        <v>7.682721181</v>
      </c>
      <c r="G16" s="26">
        <v>20566.89988</v>
      </c>
      <c r="H16" s="31">
        <f t="shared" si="3"/>
        <v>1.789676058</v>
      </c>
      <c r="I16" s="26">
        <v>15657.904739999998</v>
      </c>
      <c r="J16" s="31">
        <f t="shared" si="4"/>
        <v>1.362508565</v>
      </c>
      <c r="K16" s="26">
        <v>15367.71213</v>
      </c>
      <c r="L16" s="31">
        <f t="shared" si="5"/>
        <v>1.337256788</v>
      </c>
      <c r="M16" s="26">
        <v>0.0</v>
      </c>
      <c r="N16" s="31">
        <f t="shared" si="6"/>
        <v>0</v>
      </c>
      <c r="O16" s="26">
        <v>7807.8136</v>
      </c>
      <c r="P16" s="31">
        <f t="shared" si="7"/>
        <v>0.6794148438</v>
      </c>
    </row>
    <row r="17">
      <c r="A17" s="25" t="s">
        <v>53</v>
      </c>
      <c r="B17" s="26">
        <f>i_F6!C17</f>
        <v>1818637.895</v>
      </c>
      <c r="C17" s="26">
        <v>19490.599019999998</v>
      </c>
      <c r="D17" s="31">
        <f t="shared" si="1"/>
        <v>1.071714115</v>
      </c>
      <c r="E17" s="26">
        <v>1334867.57547</v>
      </c>
      <c r="F17" s="31">
        <f t="shared" si="2"/>
        <v>73.399305</v>
      </c>
      <c r="G17" s="26">
        <v>8856.395770000001</v>
      </c>
      <c r="H17" s="31">
        <f t="shared" si="3"/>
        <v>0.4869796123</v>
      </c>
      <c r="I17" s="26">
        <v>0.0</v>
      </c>
      <c r="J17" s="31">
        <f t="shared" si="4"/>
        <v>0</v>
      </c>
      <c r="K17" s="26">
        <v>0.0</v>
      </c>
      <c r="L17" s="31">
        <f t="shared" si="5"/>
        <v>0</v>
      </c>
      <c r="M17" s="26">
        <v>0.0</v>
      </c>
      <c r="N17" s="31">
        <f t="shared" si="6"/>
        <v>0</v>
      </c>
      <c r="O17" s="26">
        <v>16474.24904</v>
      </c>
      <c r="P17" s="31">
        <f t="shared" si="7"/>
        <v>0.9058564701</v>
      </c>
    </row>
    <row r="18">
      <c r="A18" s="25" t="s">
        <v>54</v>
      </c>
      <c r="B18" s="26">
        <f>i_F6!C18</f>
        <v>972459.1379</v>
      </c>
      <c r="C18" s="26">
        <v>4578.6294</v>
      </c>
      <c r="D18" s="31">
        <f t="shared" si="1"/>
        <v>0.4708300042</v>
      </c>
      <c r="E18" s="26">
        <v>670894.4674200004</v>
      </c>
      <c r="F18" s="31">
        <f t="shared" si="2"/>
        <v>68.9894764</v>
      </c>
      <c r="G18" s="26">
        <v>14478.94153</v>
      </c>
      <c r="H18" s="31">
        <f t="shared" si="3"/>
        <v>1.488899735</v>
      </c>
      <c r="I18" s="26">
        <v>5560.89794</v>
      </c>
      <c r="J18" s="31">
        <f t="shared" si="4"/>
        <v>0.5718387255</v>
      </c>
      <c r="K18" s="26">
        <v>313.92154</v>
      </c>
      <c r="L18" s="31">
        <f t="shared" si="5"/>
        <v>0.03228120625</v>
      </c>
      <c r="M18" s="26">
        <v>0.0</v>
      </c>
      <c r="N18" s="31">
        <f t="shared" si="6"/>
        <v>0</v>
      </c>
      <c r="O18" s="26">
        <v>1092.2292400000001</v>
      </c>
      <c r="P18" s="31">
        <f t="shared" si="7"/>
        <v>0.1123162092</v>
      </c>
    </row>
    <row r="19">
      <c r="A19" s="25" t="s">
        <v>56</v>
      </c>
      <c r="B19" s="26">
        <f>i_F6!C19</f>
        <v>1161855.027</v>
      </c>
      <c r="C19" s="26">
        <v>5877.147645999999</v>
      </c>
      <c r="D19" s="31">
        <f t="shared" si="1"/>
        <v>0.5058417366</v>
      </c>
      <c r="E19" s="26">
        <v>270221.46270599973</v>
      </c>
      <c r="F19" s="31">
        <f t="shared" si="2"/>
        <v>23.25776077</v>
      </c>
      <c r="G19" s="26">
        <v>31741.879896</v>
      </c>
      <c r="H19" s="31">
        <f t="shared" si="3"/>
        <v>2.732000048</v>
      </c>
      <c r="I19" s="26">
        <v>1574.8198</v>
      </c>
      <c r="J19" s="31">
        <f t="shared" si="4"/>
        <v>0.1355435716</v>
      </c>
      <c r="K19" s="26">
        <v>4094.569524</v>
      </c>
      <c r="L19" s="31">
        <f t="shared" si="5"/>
        <v>0.3524165605</v>
      </c>
      <c r="M19" s="26">
        <v>0.0</v>
      </c>
      <c r="N19" s="31">
        <f t="shared" si="6"/>
        <v>0</v>
      </c>
      <c r="O19" s="26">
        <v>3069.1763100000003</v>
      </c>
      <c r="P19" s="31">
        <f t="shared" si="7"/>
        <v>0.2641617275</v>
      </c>
    </row>
    <row r="20">
      <c r="A20" s="25" t="s">
        <v>57</v>
      </c>
      <c r="B20" s="26">
        <f>i_F6!C20</f>
        <v>638952.5448</v>
      </c>
      <c r="C20" s="26">
        <v>1929.65002</v>
      </c>
      <c r="D20" s="31">
        <f t="shared" si="1"/>
        <v>0.302002087</v>
      </c>
      <c r="E20" s="26">
        <v>71570.40418</v>
      </c>
      <c r="F20" s="31">
        <f t="shared" si="2"/>
        <v>11.2012081</v>
      </c>
      <c r="G20" s="26">
        <v>1692.12</v>
      </c>
      <c r="H20" s="31">
        <f t="shared" si="3"/>
        <v>0.2648271791</v>
      </c>
      <c r="I20" s="26">
        <v>2604.9336</v>
      </c>
      <c r="J20" s="31">
        <f t="shared" si="4"/>
        <v>0.4076881172</v>
      </c>
      <c r="K20" s="26">
        <v>0.0</v>
      </c>
      <c r="L20" s="31">
        <f t="shared" si="5"/>
        <v>0</v>
      </c>
      <c r="M20" s="26">
        <v>0.0</v>
      </c>
      <c r="N20" s="31">
        <f t="shared" si="6"/>
        <v>0</v>
      </c>
      <c r="O20" s="26">
        <v>0.0</v>
      </c>
      <c r="P20" s="31">
        <f t="shared" si="7"/>
        <v>0</v>
      </c>
    </row>
    <row r="21" ht="15.75" customHeight="1">
      <c r="A21" s="25" t="s">
        <v>59</v>
      </c>
      <c r="B21" s="26">
        <f>i_F6!C21</f>
        <v>625562.1323</v>
      </c>
      <c r="C21" s="26">
        <v>4056.20732</v>
      </c>
      <c r="D21" s="31">
        <f t="shared" si="1"/>
        <v>0.6484099837</v>
      </c>
      <c r="E21" s="26">
        <v>232765.02795000025</v>
      </c>
      <c r="F21" s="31">
        <f t="shared" si="2"/>
        <v>37.20893832</v>
      </c>
      <c r="G21" s="26">
        <v>6906.093969999999</v>
      </c>
      <c r="H21" s="31">
        <f t="shared" si="3"/>
        <v>1.103982101</v>
      </c>
      <c r="I21" s="26">
        <v>1890.11177</v>
      </c>
      <c r="J21" s="31">
        <f t="shared" si="4"/>
        <v>0.3021461294</v>
      </c>
      <c r="K21" s="26">
        <v>657.92731</v>
      </c>
      <c r="L21" s="31">
        <f t="shared" si="5"/>
        <v>0.1051737751</v>
      </c>
      <c r="M21" s="26">
        <v>0.0</v>
      </c>
      <c r="N21" s="31">
        <f t="shared" si="6"/>
        <v>0</v>
      </c>
      <c r="O21" s="26">
        <v>3000.70871</v>
      </c>
      <c r="P21" s="31">
        <f t="shared" si="7"/>
        <v>0.479681962</v>
      </c>
    </row>
    <row r="22" ht="15.75" customHeight="1">
      <c r="A22" s="25" t="s">
        <v>60</v>
      </c>
      <c r="B22" s="26">
        <f>i_F6!C22</f>
        <v>1257806.31</v>
      </c>
      <c r="C22" s="26">
        <v>8928.827440000001</v>
      </c>
      <c r="D22" s="31">
        <f t="shared" si="1"/>
        <v>0.7098730042</v>
      </c>
      <c r="E22" s="26">
        <v>135235.33907000002</v>
      </c>
      <c r="F22" s="31">
        <f t="shared" si="2"/>
        <v>10.75168235</v>
      </c>
      <c r="G22" s="26">
        <v>9008.86003</v>
      </c>
      <c r="H22" s="31">
        <f t="shared" si="3"/>
        <v>0.716235875</v>
      </c>
      <c r="I22" s="26">
        <v>3845.6477</v>
      </c>
      <c r="J22" s="31">
        <f t="shared" si="4"/>
        <v>0.3057424398</v>
      </c>
      <c r="K22" s="26">
        <v>550.15002</v>
      </c>
      <c r="L22" s="31">
        <f t="shared" si="5"/>
        <v>0.04373885038</v>
      </c>
      <c r="M22" s="26">
        <v>0.0</v>
      </c>
      <c r="N22" s="31">
        <f t="shared" si="6"/>
        <v>0</v>
      </c>
      <c r="O22" s="26">
        <v>9525.343819999998</v>
      </c>
      <c r="P22" s="31">
        <f t="shared" si="7"/>
        <v>0.7572981424</v>
      </c>
    </row>
    <row r="23" ht="15.75" customHeight="1">
      <c r="A23" s="25" t="s">
        <v>63</v>
      </c>
      <c r="B23" s="26">
        <f>i_F6!C23</f>
        <v>1175824.801</v>
      </c>
      <c r="C23" s="26">
        <v>2801.14959</v>
      </c>
      <c r="D23" s="31">
        <f t="shared" si="1"/>
        <v>0.2382284833</v>
      </c>
      <c r="E23" s="26">
        <v>240448.7846</v>
      </c>
      <c r="F23" s="31">
        <f t="shared" si="2"/>
        <v>20.44937174</v>
      </c>
      <c r="G23" s="26">
        <v>26657.74991</v>
      </c>
      <c r="H23" s="31">
        <f t="shared" si="3"/>
        <v>2.267153226</v>
      </c>
      <c r="I23" s="26">
        <v>238.82671</v>
      </c>
      <c r="J23" s="31">
        <f t="shared" si="4"/>
        <v>0.02031141967</v>
      </c>
      <c r="K23" s="26">
        <v>1345.3036</v>
      </c>
      <c r="L23" s="31">
        <f t="shared" si="5"/>
        <v>0.1144136098</v>
      </c>
      <c r="M23" s="26">
        <v>0.0</v>
      </c>
      <c r="N23" s="31">
        <f t="shared" si="6"/>
        <v>0</v>
      </c>
      <c r="O23" s="26">
        <v>4577.493829999999</v>
      </c>
      <c r="P23" s="31">
        <f t="shared" si="7"/>
        <v>0.3893006701</v>
      </c>
    </row>
    <row r="24" ht="15.75" customHeight="1">
      <c r="A24" s="25" t="s">
        <v>64</v>
      </c>
      <c r="B24" s="26">
        <f>i_F6!C24</f>
        <v>698996.4189</v>
      </c>
      <c r="C24" s="26">
        <v>681.19082</v>
      </c>
      <c r="D24" s="31">
        <f t="shared" si="1"/>
        <v>0.09745269097</v>
      </c>
      <c r="E24" s="26">
        <v>334745.0909800004</v>
      </c>
      <c r="F24" s="31">
        <f t="shared" si="2"/>
        <v>47.88938569</v>
      </c>
      <c r="G24" s="26">
        <v>12381.78289</v>
      </c>
      <c r="H24" s="31">
        <f t="shared" si="3"/>
        <v>1.771365712</v>
      </c>
      <c r="I24" s="26">
        <v>882.24683</v>
      </c>
      <c r="J24" s="31">
        <f t="shared" si="4"/>
        <v>0.126216216</v>
      </c>
      <c r="K24" s="26">
        <v>30892.625290000007</v>
      </c>
      <c r="L24" s="31">
        <f t="shared" si="5"/>
        <v>4.419568463</v>
      </c>
      <c r="M24" s="26">
        <v>107.16085</v>
      </c>
      <c r="N24" s="31">
        <f t="shared" si="6"/>
        <v>0.01533067225</v>
      </c>
      <c r="O24" s="26">
        <v>903.06</v>
      </c>
      <c r="P24" s="31">
        <f t="shared" si="7"/>
        <v>0.1291937949</v>
      </c>
    </row>
    <row r="25" ht="15.75" customHeight="1">
      <c r="A25" s="25" t="s">
        <v>65</v>
      </c>
      <c r="B25" s="26">
        <f>i_F6!C25</f>
        <v>349190.6755</v>
      </c>
      <c r="C25" s="26">
        <v>0.0</v>
      </c>
      <c r="D25" s="31">
        <f t="shared" si="1"/>
        <v>0</v>
      </c>
      <c r="E25" s="26">
        <v>294669.8235480004</v>
      </c>
      <c r="F25" s="31">
        <f t="shared" si="2"/>
        <v>84.38650979</v>
      </c>
      <c r="G25" s="26">
        <v>706.32425</v>
      </c>
      <c r="H25" s="31">
        <f t="shared" si="3"/>
        <v>0.2022746596</v>
      </c>
      <c r="I25" s="26">
        <v>268.67581</v>
      </c>
      <c r="J25" s="31">
        <f t="shared" si="4"/>
        <v>0.07694243543</v>
      </c>
      <c r="K25" s="26">
        <v>0.0</v>
      </c>
      <c r="L25" s="31">
        <f t="shared" si="5"/>
        <v>0</v>
      </c>
      <c r="M25" s="26">
        <v>0.0</v>
      </c>
      <c r="N25" s="31">
        <f t="shared" si="6"/>
        <v>0</v>
      </c>
      <c r="O25" s="26">
        <v>0.0</v>
      </c>
      <c r="P25" s="31">
        <f t="shared" si="7"/>
        <v>0</v>
      </c>
    </row>
    <row r="26" ht="15.75" customHeight="1">
      <c r="A26" s="28"/>
      <c r="B26" s="28"/>
      <c r="C26" s="28"/>
      <c r="D26" s="28"/>
      <c r="E26" s="28"/>
      <c r="F26" s="28"/>
      <c r="G26" s="28"/>
      <c r="H26" s="28"/>
      <c r="I26" s="28"/>
      <c r="J26" s="28"/>
      <c r="K26" s="28"/>
      <c r="L26" s="28"/>
      <c r="M26" s="28"/>
      <c r="N26" s="28"/>
      <c r="O26" s="28"/>
      <c r="P26" s="28"/>
    </row>
    <row r="27" ht="15.75" customHeight="1">
      <c r="A27" s="8"/>
      <c r="B27" s="9"/>
      <c r="C27" s="9"/>
      <c r="D27" s="9"/>
      <c r="E27" s="9"/>
      <c r="F27" s="9"/>
      <c r="G27" s="9"/>
      <c r="H27" s="9"/>
      <c r="I27" s="9"/>
      <c r="J27" s="9"/>
      <c r="K27" s="9"/>
      <c r="L27" s="9"/>
      <c r="M27" s="9"/>
      <c r="N27" s="9"/>
      <c r="O27" s="9"/>
      <c r="P27" s="9"/>
    </row>
    <row r="28" ht="15.75" customHeight="1">
      <c r="A28" s="10" t="s">
        <v>13</v>
      </c>
      <c r="B28" s="42">
        <v>2024.0</v>
      </c>
      <c r="C28" s="14"/>
      <c r="D28" s="14"/>
      <c r="E28" s="14"/>
      <c r="F28" s="14"/>
      <c r="G28" s="14"/>
      <c r="H28" s="14"/>
      <c r="I28" s="14"/>
      <c r="J28" s="14"/>
      <c r="K28" s="14"/>
      <c r="L28" s="14"/>
      <c r="M28" s="14"/>
      <c r="N28" s="14"/>
      <c r="O28" s="14"/>
      <c r="P28" s="15"/>
    </row>
    <row r="29" ht="30.0" customHeight="1">
      <c r="A29" s="17"/>
      <c r="B29" s="21" t="s">
        <v>494</v>
      </c>
      <c r="C29" s="13" t="s">
        <v>495</v>
      </c>
      <c r="D29" s="15"/>
      <c r="E29" s="13" t="s">
        <v>496</v>
      </c>
      <c r="F29" s="15"/>
      <c r="G29" s="13" t="s">
        <v>497</v>
      </c>
      <c r="H29" s="15"/>
      <c r="I29" s="13" t="s">
        <v>498</v>
      </c>
      <c r="J29" s="15"/>
      <c r="K29" s="13" t="s">
        <v>499</v>
      </c>
      <c r="L29" s="15"/>
      <c r="M29" s="13" t="s">
        <v>500</v>
      </c>
      <c r="N29" s="15"/>
      <c r="O29" s="13" t="s">
        <v>501</v>
      </c>
      <c r="P29" s="15"/>
    </row>
    <row r="30" ht="22.5" customHeight="1">
      <c r="A30" s="18"/>
      <c r="B30" s="18"/>
      <c r="C30" s="24" t="s">
        <v>37</v>
      </c>
      <c r="D30" s="24" t="s">
        <v>39</v>
      </c>
      <c r="E30" s="24" t="s">
        <v>37</v>
      </c>
      <c r="F30" s="24" t="s">
        <v>39</v>
      </c>
      <c r="G30" s="24" t="s">
        <v>37</v>
      </c>
      <c r="H30" s="24" t="s">
        <v>39</v>
      </c>
      <c r="I30" s="24" t="s">
        <v>37</v>
      </c>
      <c r="J30" s="24" t="s">
        <v>39</v>
      </c>
      <c r="K30" s="24" t="s">
        <v>37</v>
      </c>
      <c r="L30" s="24" t="s">
        <v>39</v>
      </c>
      <c r="M30" s="24" t="s">
        <v>37</v>
      </c>
      <c r="N30" s="24" t="s">
        <v>39</v>
      </c>
      <c r="O30" s="24" t="s">
        <v>37</v>
      </c>
      <c r="P30" s="24" t="s">
        <v>39</v>
      </c>
    </row>
    <row r="31" ht="15.75" customHeight="1">
      <c r="A31" s="16"/>
      <c r="B31" s="20"/>
      <c r="C31" s="20"/>
      <c r="D31" s="20"/>
      <c r="E31" s="20"/>
      <c r="F31" s="20"/>
      <c r="G31" s="20"/>
      <c r="H31" s="20"/>
      <c r="I31" s="20"/>
      <c r="J31" s="20"/>
      <c r="K31" s="20"/>
      <c r="L31" s="20"/>
      <c r="M31" s="20"/>
      <c r="N31" s="20"/>
      <c r="O31" s="20"/>
      <c r="P31" s="20"/>
    </row>
    <row r="32" ht="15.75" customHeight="1">
      <c r="A32" s="22" t="s">
        <v>33</v>
      </c>
      <c r="B32" s="23">
        <v>2.4254373E7</v>
      </c>
      <c r="C32" s="23">
        <v>393624.0</v>
      </c>
      <c r="D32" s="27">
        <f t="shared" ref="D32:D49" si="8">(C32/$B32)*100</f>
        <v>1.622899095</v>
      </c>
      <c r="E32" s="23">
        <v>1.3849228E7</v>
      </c>
      <c r="F32" s="27">
        <f t="shared" ref="F32:F49" si="9">(E32/$B32)*100</f>
        <v>57.09992173</v>
      </c>
      <c r="G32" s="23">
        <v>1901262.0</v>
      </c>
      <c r="H32" s="27">
        <f t="shared" ref="H32:H49" si="10">(G32/$B32)*100</f>
        <v>7.838842093</v>
      </c>
      <c r="I32" s="23">
        <v>1485430.0</v>
      </c>
      <c r="J32" s="27">
        <f t="shared" ref="J32:J49" si="11">(I32/$B32)*100</f>
        <v>6.124380127</v>
      </c>
      <c r="K32" s="23">
        <v>273956.0</v>
      </c>
      <c r="L32" s="27">
        <f t="shared" ref="L32:L49" si="12">(K32/$B32)*100</f>
        <v>1.129511779</v>
      </c>
      <c r="M32" s="23">
        <v>27964.0</v>
      </c>
      <c r="N32" s="27">
        <f t="shared" ref="N32:N49" si="13">(M32/$B32)*100</f>
        <v>0.1152946728</v>
      </c>
      <c r="O32" s="23">
        <v>472277.0</v>
      </c>
      <c r="P32" s="27">
        <f t="shared" ref="P32:P49" si="14">(O32/$B32)*100</f>
        <v>1.947182885</v>
      </c>
    </row>
    <row r="33" ht="15.75" customHeight="1">
      <c r="A33" s="25" t="s">
        <v>38</v>
      </c>
      <c r="B33" s="26">
        <v>5100062.0</v>
      </c>
      <c r="C33" s="26">
        <v>75144.0</v>
      </c>
      <c r="D33" s="31">
        <f t="shared" si="8"/>
        <v>1.473393853</v>
      </c>
      <c r="E33" s="26">
        <v>2902660.0</v>
      </c>
      <c r="F33" s="31">
        <f t="shared" si="9"/>
        <v>56.91421006</v>
      </c>
      <c r="G33" s="26">
        <v>431046.0</v>
      </c>
      <c r="H33" s="31">
        <f t="shared" si="10"/>
        <v>8.451779606</v>
      </c>
      <c r="I33" s="26">
        <v>339360.0</v>
      </c>
      <c r="J33" s="31">
        <f t="shared" si="11"/>
        <v>6.654036755</v>
      </c>
      <c r="K33" s="26">
        <v>53457.0</v>
      </c>
      <c r="L33" s="31">
        <f t="shared" si="12"/>
        <v>1.048163728</v>
      </c>
      <c r="M33" s="26">
        <v>4630.0</v>
      </c>
      <c r="N33" s="31">
        <f t="shared" si="13"/>
        <v>0.09078321009</v>
      </c>
      <c r="O33" s="26">
        <v>85498.0</v>
      </c>
      <c r="P33" s="31">
        <f t="shared" si="14"/>
        <v>1.676410993</v>
      </c>
    </row>
    <row r="34" ht="15.75" customHeight="1">
      <c r="A34" s="25" t="s">
        <v>41</v>
      </c>
      <c r="B34" s="26">
        <v>230612.0</v>
      </c>
      <c r="C34" s="26">
        <v>5545.0</v>
      </c>
      <c r="D34" s="31">
        <f t="shared" si="8"/>
        <v>2.40447158</v>
      </c>
      <c r="E34" s="26">
        <v>145178.0</v>
      </c>
      <c r="F34" s="31">
        <f t="shared" si="9"/>
        <v>62.95335889</v>
      </c>
      <c r="G34" s="26">
        <v>15831.0</v>
      </c>
      <c r="H34" s="31">
        <f t="shared" si="10"/>
        <v>6.864777202</v>
      </c>
      <c r="I34" s="26">
        <v>3400.0</v>
      </c>
      <c r="J34" s="31">
        <f t="shared" si="11"/>
        <v>1.474337849</v>
      </c>
      <c r="K34" s="26">
        <v>2064.0</v>
      </c>
      <c r="L34" s="31">
        <f t="shared" si="12"/>
        <v>0.8950098</v>
      </c>
      <c r="M34" s="26">
        <v>0.0</v>
      </c>
      <c r="N34" s="31">
        <f t="shared" si="13"/>
        <v>0</v>
      </c>
      <c r="O34" s="26">
        <v>6074.0</v>
      </c>
      <c r="P34" s="31">
        <f t="shared" si="14"/>
        <v>2.633861204</v>
      </c>
    </row>
    <row r="35" ht="15.75" customHeight="1">
      <c r="A35" s="25" t="s">
        <v>43</v>
      </c>
      <c r="B35" s="26">
        <v>1011111.0</v>
      </c>
      <c r="C35" s="26">
        <v>2602.0</v>
      </c>
      <c r="D35" s="31">
        <f t="shared" si="8"/>
        <v>0.2573406876</v>
      </c>
      <c r="E35" s="26">
        <v>860153.0</v>
      </c>
      <c r="F35" s="31">
        <f t="shared" si="9"/>
        <v>85.07008627</v>
      </c>
      <c r="G35" s="26">
        <v>239589.0</v>
      </c>
      <c r="H35" s="31">
        <f t="shared" si="10"/>
        <v>23.69561799</v>
      </c>
      <c r="I35" s="26">
        <v>146472.0</v>
      </c>
      <c r="J35" s="31">
        <f t="shared" si="11"/>
        <v>14.48624335</v>
      </c>
      <c r="K35" s="26">
        <v>10951.0</v>
      </c>
      <c r="L35" s="31">
        <f t="shared" si="12"/>
        <v>1.083066053</v>
      </c>
      <c r="M35" s="26">
        <v>0.0</v>
      </c>
      <c r="N35" s="31">
        <f t="shared" si="13"/>
        <v>0</v>
      </c>
      <c r="O35" s="26">
        <v>0.0</v>
      </c>
      <c r="P35" s="31">
        <f t="shared" si="14"/>
        <v>0</v>
      </c>
    </row>
    <row r="36" ht="15.75" customHeight="1">
      <c r="A36" s="25" t="s">
        <v>44</v>
      </c>
      <c r="B36" s="26">
        <v>685557.0</v>
      </c>
      <c r="C36" s="26">
        <v>11566.0</v>
      </c>
      <c r="D36" s="31">
        <f t="shared" si="8"/>
        <v>1.687095311</v>
      </c>
      <c r="E36" s="26">
        <v>539056.0</v>
      </c>
      <c r="F36" s="31">
        <f t="shared" si="9"/>
        <v>78.63036917</v>
      </c>
      <c r="G36" s="26">
        <v>45542.0</v>
      </c>
      <c r="H36" s="31">
        <f t="shared" si="10"/>
        <v>6.64306542</v>
      </c>
      <c r="I36" s="26">
        <v>23074.0</v>
      </c>
      <c r="J36" s="31">
        <f t="shared" si="11"/>
        <v>3.365730348</v>
      </c>
      <c r="K36" s="26">
        <v>5156.0</v>
      </c>
      <c r="L36" s="31">
        <f t="shared" si="12"/>
        <v>0.7520891771</v>
      </c>
      <c r="M36" s="26">
        <v>1108.0</v>
      </c>
      <c r="N36" s="31">
        <f t="shared" si="13"/>
        <v>0.161620405</v>
      </c>
      <c r="O36" s="26">
        <v>12619.0</v>
      </c>
      <c r="P36" s="31">
        <f t="shared" si="14"/>
        <v>1.840693042</v>
      </c>
    </row>
    <row r="37" ht="15.75" customHeight="1">
      <c r="A37" s="25" t="s">
        <v>46</v>
      </c>
      <c r="B37" s="26">
        <v>3310766.0</v>
      </c>
      <c r="C37" s="26">
        <v>68465.0</v>
      </c>
      <c r="D37" s="31">
        <f t="shared" si="8"/>
        <v>2.067950438</v>
      </c>
      <c r="E37" s="26">
        <v>1888135.0</v>
      </c>
      <c r="F37" s="31">
        <f t="shared" si="9"/>
        <v>57.03015556</v>
      </c>
      <c r="G37" s="26">
        <v>186567.0</v>
      </c>
      <c r="H37" s="31">
        <f t="shared" si="10"/>
        <v>5.635161168</v>
      </c>
      <c r="I37" s="26">
        <v>244454.0</v>
      </c>
      <c r="J37" s="31">
        <f t="shared" si="11"/>
        <v>7.383608506</v>
      </c>
      <c r="K37" s="26">
        <v>46292.0</v>
      </c>
      <c r="L37" s="31">
        <f t="shared" si="12"/>
        <v>1.398226272</v>
      </c>
      <c r="M37" s="26">
        <v>2754.0</v>
      </c>
      <c r="N37" s="31">
        <f t="shared" si="13"/>
        <v>0.08318316668</v>
      </c>
      <c r="O37" s="26">
        <v>83410.0</v>
      </c>
      <c r="P37" s="31">
        <f t="shared" si="14"/>
        <v>2.519356548</v>
      </c>
    </row>
    <row r="38" ht="15.75" customHeight="1">
      <c r="A38" s="25" t="s">
        <v>48</v>
      </c>
      <c r="B38" s="26">
        <v>4516451.0</v>
      </c>
      <c r="C38" s="26">
        <v>36700.0</v>
      </c>
      <c r="D38" s="31">
        <f t="shared" si="8"/>
        <v>0.8125849256</v>
      </c>
      <c r="E38" s="26">
        <v>2107956.0</v>
      </c>
      <c r="F38" s="31">
        <f t="shared" si="9"/>
        <v>46.67284113</v>
      </c>
      <c r="G38" s="26">
        <v>202526.0</v>
      </c>
      <c r="H38" s="31">
        <f t="shared" si="10"/>
        <v>4.484184595</v>
      </c>
      <c r="I38" s="26">
        <v>331809.0</v>
      </c>
      <c r="J38" s="31">
        <f t="shared" si="11"/>
        <v>7.34667552</v>
      </c>
      <c r="K38" s="26">
        <v>64882.0</v>
      </c>
      <c r="L38" s="31">
        <f t="shared" si="12"/>
        <v>1.43657044</v>
      </c>
      <c r="M38" s="26">
        <v>5878.0</v>
      </c>
      <c r="N38" s="31">
        <f t="shared" si="13"/>
        <v>0.1301464358</v>
      </c>
      <c r="O38" s="26">
        <v>58003.0</v>
      </c>
      <c r="P38" s="31">
        <f t="shared" si="14"/>
        <v>1.284260584</v>
      </c>
    </row>
    <row r="39" ht="15.75" customHeight="1">
      <c r="A39" s="25" t="s">
        <v>50</v>
      </c>
      <c r="B39" s="26">
        <v>883993.0</v>
      </c>
      <c r="C39" s="26">
        <v>3934.0</v>
      </c>
      <c r="D39" s="31">
        <f t="shared" si="8"/>
        <v>0.4450261484</v>
      </c>
      <c r="E39" s="26">
        <v>506679.0</v>
      </c>
      <c r="F39" s="31">
        <f t="shared" si="9"/>
        <v>57.31708283</v>
      </c>
      <c r="G39" s="26">
        <v>43288.0</v>
      </c>
      <c r="H39" s="31">
        <f t="shared" si="10"/>
        <v>4.896871355</v>
      </c>
      <c r="I39" s="26">
        <v>7731.0</v>
      </c>
      <c r="J39" s="31">
        <f t="shared" si="11"/>
        <v>0.8745544365</v>
      </c>
      <c r="K39" s="26">
        <v>11460.0</v>
      </c>
      <c r="L39" s="31">
        <f t="shared" si="12"/>
        <v>1.296390356</v>
      </c>
      <c r="M39" s="26">
        <v>0.0</v>
      </c>
      <c r="N39" s="31">
        <f t="shared" si="13"/>
        <v>0</v>
      </c>
      <c r="O39" s="26">
        <v>14637.0</v>
      </c>
      <c r="P39" s="31">
        <f t="shared" si="14"/>
        <v>1.655782342</v>
      </c>
    </row>
    <row r="40" ht="15.75" customHeight="1">
      <c r="A40" s="25" t="s">
        <v>51</v>
      </c>
      <c r="B40" s="26">
        <v>1239242.0</v>
      </c>
      <c r="C40" s="26">
        <v>43771.0</v>
      </c>
      <c r="D40" s="31">
        <f t="shared" si="8"/>
        <v>3.53207848</v>
      </c>
      <c r="E40" s="26">
        <v>551961.0</v>
      </c>
      <c r="F40" s="31">
        <f t="shared" si="9"/>
        <v>44.54021087</v>
      </c>
      <c r="G40" s="26">
        <v>108005.0</v>
      </c>
      <c r="H40" s="31">
        <f t="shared" si="10"/>
        <v>8.71540829</v>
      </c>
      <c r="I40" s="26">
        <v>31576.0</v>
      </c>
      <c r="J40" s="31">
        <f t="shared" si="11"/>
        <v>2.548009186</v>
      </c>
      <c r="K40" s="26">
        <v>13966.0</v>
      </c>
      <c r="L40" s="31">
        <f t="shared" si="12"/>
        <v>1.126979234</v>
      </c>
      <c r="M40" s="26">
        <v>2464.0</v>
      </c>
      <c r="N40" s="31">
        <f t="shared" si="13"/>
        <v>0.198831221</v>
      </c>
      <c r="O40" s="26">
        <v>62301.0</v>
      </c>
      <c r="P40" s="31">
        <f t="shared" si="14"/>
        <v>5.027347362</v>
      </c>
    </row>
    <row r="41" ht="15.75" customHeight="1">
      <c r="A41" s="25" t="s">
        <v>53</v>
      </c>
      <c r="B41" s="26">
        <v>1046622.0</v>
      </c>
      <c r="C41" s="26">
        <v>32353.0</v>
      </c>
      <c r="D41" s="31">
        <f t="shared" si="8"/>
        <v>3.091182872</v>
      </c>
      <c r="E41" s="26">
        <v>782987.0</v>
      </c>
      <c r="F41" s="31">
        <f t="shared" si="9"/>
        <v>74.81086772</v>
      </c>
      <c r="G41" s="26">
        <v>82663.0</v>
      </c>
      <c r="H41" s="31">
        <f t="shared" si="10"/>
        <v>7.898075905</v>
      </c>
      <c r="I41" s="26">
        <v>49340.0</v>
      </c>
      <c r="J41" s="31">
        <f t="shared" si="11"/>
        <v>4.714213919</v>
      </c>
      <c r="K41" s="26">
        <v>5845.0</v>
      </c>
      <c r="L41" s="31">
        <f t="shared" si="12"/>
        <v>0.558463323</v>
      </c>
      <c r="M41" s="26">
        <v>4143.0</v>
      </c>
      <c r="N41" s="31">
        <f t="shared" si="13"/>
        <v>0.3958449182</v>
      </c>
      <c r="O41" s="26">
        <v>25765.0</v>
      </c>
      <c r="P41" s="31">
        <f t="shared" si="14"/>
        <v>2.461729259</v>
      </c>
    </row>
    <row r="42" ht="15.75" customHeight="1">
      <c r="A42" s="25" t="s">
        <v>54</v>
      </c>
      <c r="B42" s="26">
        <v>1391461.0</v>
      </c>
      <c r="C42" s="26">
        <v>13832.0</v>
      </c>
      <c r="D42" s="31">
        <f t="shared" si="8"/>
        <v>0.9940630747</v>
      </c>
      <c r="E42" s="26">
        <v>978700.0</v>
      </c>
      <c r="F42" s="31">
        <f t="shared" si="9"/>
        <v>70.33614309</v>
      </c>
      <c r="G42" s="26">
        <v>89819.0</v>
      </c>
      <c r="H42" s="31">
        <f t="shared" si="10"/>
        <v>6.455013831</v>
      </c>
      <c r="I42" s="26">
        <v>158854.0</v>
      </c>
      <c r="J42" s="31">
        <f t="shared" si="11"/>
        <v>11.41634584</v>
      </c>
      <c r="K42" s="26">
        <v>0.0</v>
      </c>
      <c r="L42" s="31">
        <f t="shared" si="12"/>
        <v>0</v>
      </c>
      <c r="M42" s="26">
        <v>4969.0</v>
      </c>
      <c r="N42" s="31">
        <f t="shared" si="13"/>
        <v>0.357106667</v>
      </c>
      <c r="O42" s="26">
        <v>15949.0</v>
      </c>
      <c r="P42" s="31">
        <f t="shared" si="14"/>
        <v>1.146205319</v>
      </c>
    </row>
    <row r="43" ht="15.75" customHeight="1">
      <c r="A43" s="25" t="s">
        <v>56</v>
      </c>
      <c r="B43" s="26">
        <v>1110528.0</v>
      </c>
      <c r="C43" s="26">
        <v>17300.0</v>
      </c>
      <c r="D43" s="31">
        <f t="shared" si="8"/>
        <v>1.557817543</v>
      </c>
      <c r="E43" s="26">
        <v>495637.0</v>
      </c>
      <c r="F43" s="31">
        <f t="shared" si="9"/>
        <v>44.63075222</v>
      </c>
      <c r="G43" s="26">
        <v>93149.0</v>
      </c>
      <c r="H43" s="31">
        <f t="shared" si="10"/>
        <v>8.387811924</v>
      </c>
      <c r="I43" s="26">
        <v>14710.0</v>
      </c>
      <c r="J43" s="31">
        <f t="shared" si="11"/>
        <v>1.324595148</v>
      </c>
      <c r="K43" s="26">
        <v>5042.0</v>
      </c>
      <c r="L43" s="31">
        <f t="shared" si="12"/>
        <v>0.4540182688</v>
      </c>
      <c r="M43" s="26">
        <v>2020.0</v>
      </c>
      <c r="N43" s="31">
        <f t="shared" si="13"/>
        <v>0.1818954587</v>
      </c>
      <c r="O43" s="26">
        <v>16250.0</v>
      </c>
      <c r="P43" s="31">
        <f t="shared" si="14"/>
        <v>1.463267923</v>
      </c>
    </row>
    <row r="44" ht="15.75" customHeight="1">
      <c r="A44" s="25" t="s">
        <v>57</v>
      </c>
      <c r="B44" s="26">
        <v>202605.0</v>
      </c>
      <c r="C44" s="26">
        <v>4640.0</v>
      </c>
      <c r="D44" s="31">
        <f t="shared" si="8"/>
        <v>2.290170529</v>
      </c>
      <c r="E44" s="26">
        <v>68145.0</v>
      </c>
      <c r="F44" s="31">
        <f t="shared" si="9"/>
        <v>33.63441179</v>
      </c>
      <c r="G44" s="26">
        <v>11202.0</v>
      </c>
      <c r="H44" s="31">
        <f t="shared" si="10"/>
        <v>5.528984971</v>
      </c>
      <c r="I44" s="26">
        <v>25391.0</v>
      </c>
      <c r="J44" s="31">
        <f t="shared" si="11"/>
        <v>12.53226722</v>
      </c>
      <c r="K44" s="26">
        <v>3973.0</v>
      </c>
      <c r="L44" s="31">
        <f t="shared" si="12"/>
        <v>1.960958515</v>
      </c>
      <c r="M44" s="26">
        <v>0.0</v>
      </c>
      <c r="N44" s="31">
        <f t="shared" si="13"/>
        <v>0</v>
      </c>
      <c r="O44" s="26">
        <v>1849.0</v>
      </c>
      <c r="P44" s="31">
        <f t="shared" si="14"/>
        <v>0.9126132129</v>
      </c>
    </row>
    <row r="45" ht="15.75" customHeight="1">
      <c r="A45" s="25" t="s">
        <v>59</v>
      </c>
      <c r="B45" s="26">
        <v>907026.0</v>
      </c>
      <c r="C45" s="26">
        <v>22752.0</v>
      </c>
      <c r="D45" s="31">
        <f t="shared" si="8"/>
        <v>2.50841762</v>
      </c>
      <c r="E45" s="26">
        <v>684248.0</v>
      </c>
      <c r="F45" s="31">
        <f t="shared" si="9"/>
        <v>75.43863131</v>
      </c>
      <c r="G45" s="26">
        <v>75665.0</v>
      </c>
      <c r="H45" s="31">
        <f t="shared" si="10"/>
        <v>8.342098242</v>
      </c>
      <c r="I45" s="26">
        <v>17484.0</v>
      </c>
      <c r="J45" s="31">
        <f t="shared" si="11"/>
        <v>1.927618392</v>
      </c>
      <c r="K45" s="26">
        <v>18527.0</v>
      </c>
      <c r="L45" s="31">
        <f t="shared" si="12"/>
        <v>2.042609583</v>
      </c>
      <c r="M45" s="26">
        <v>0.0</v>
      </c>
      <c r="N45" s="31">
        <f t="shared" si="13"/>
        <v>0</v>
      </c>
      <c r="O45" s="26">
        <v>20709.0</v>
      </c>
      <c r="P45" s="31">
        <f t="shared" si="14"/>
        <v>2.283176006</v>
      </c>
    </row>
    <row r="46" ht="15.75" customHeight="1">
      <c r="A46" s="25" t="s">
        <v>60</v>
      </c>
      <c r="B46" s="26">
        <v>1063966.0</v>
      </c>
      <c r="C46" s="26">
        <v>13685.0</v>
      </c>
      <c r="D46" s="31">
        <f t="shared" si="8"/>
        <v>1.286225312</v>
      </c>
      <c r="E46" s="26">
        <v>559421.0</v>
      </c>
      <c r="F46" s="31">
        <f t="shared" si="9"/>
        <v>52.57884181</v>
      </c>
      <c r="G46" s="26">
        <v>91592.0</v>
      </c>
      <c r="H46" s="31">
        <f t="shared" si="10"/>
        <v>8.608545762</v>
      </c>
      <c r="I46" s="26">
        <v>17329.0</v>
      </c>
      <c r="J46" s="31">
        <f t="shared" si="11"/>
        <v>1.628717459</v>
      </c>
      <c r="K46" s="26">
        <v>16249.0</v>
      </c>
      <c r="L46" s="31">
        <f t="shared" si="12"/>
        <v>1.527210456</v>
      </c>
      <c r="M46" s="26">
        <v>0.0</v>
      </c>
      <c r="N46" s="31">
        <f t="shared" si="13"/>
        <v>0</v>
      </c>
      <c r="O46" s="26">
        <v>16909.0</v>
      </c>
      <c r="P46" s="31">
        <f t="shared" si="14"/>
        <v>1.589242513</v>
      </c>
    </row>
    <row r="47" ht="15.75" customHeight="1">
      <c r="A47" s="25" t="s">
        <v>63</v>
      </c>
      <c r="B47" s="26">
        <v>978371.0</v>
      </c>
      <c r="C47" s="26">
        <v>33352.0</v>
      </c>
      <c r="D47" s="31">
        <f t="shared" si="8"/>
        <v>3.408931786</v>
      </c>
      <c r="E47" s="26">
        <v>479662.0</v>
      </c>
      <c r="F47" s="31">
        <f t="shared" si="9"/>
        <v>49.02659625</v>
      </c>
      <c r="G47" s="26">
        <v>107699.0</v>
      </c>
      <c r="H47" s="31">
        <f t="shared" si="10"/>
        <v>11.00799186</v>
      </c>
      <c r="I47" s="26">
        <v>9385.0</v>
      </c>
      <c r="J47" s="31">
        <f t="shared" si="11"/>
        <v>0.9592475656</v>
      </c>
      <c r="K47" s="26">
        <v>7969.0</v>
      </c>
      <c r="L47" s="31">
        <f t="shared" si="12"/>
        <v>0.8145171924</v>
      </c>
      <c r="M47" s="26">
        <v>0.0</v>
      </c>
      <c r="N47" s="31">
        <f t="shared" si="13"/>
        <v>0</v>
      </c>
      <c r="O47" s="26">
        <v>43614.0</v>
      </c>
      <c r="P47" s="31">
        <f t="shared" si="14"/>
        <v>4.457818149</v>
      </c>
    </row>
    <row r="48" ht="15.75" customHeight="1">
      <c r="A48" s="25" t="s">
        <v>64</v>
      </c>
      <c r="B48" s="26">
        <v>390977.0</v>
      </c>
      <c r="C48" s="26">
        <v>7983.0</v>
      </c>
      <c r="D48" s="31">
        <f t="shared" si="8"/>
        <v>2.041808086</v>
      </c>
      <c r="E48" s="26">
        <v>134640.0</v>
      </c>
      <c r="F48" s="31">
        <f t="shared" si="9"/>
        <v>34.4368083</v>
      </c>
      <c r="G48" s="26">
        <v>46812.0</v>
      </c>
      <c r="H48" s="31">
        <f t="shared" si="10"/>
        <v>11.97308282</v>
      </c>
      <c r="I48" s="26">
        <v>32002.0</v>
      </c>
      <c r="J48" s="31">
        <f t="shared" si="11"/>
        <v>8.18513621</v>
      </c>
      <c r="K48" s="26">
        <v>8123.0</v>
      </c>
      <c r="L48" s="31">
        <f t="shared" si="12"/>
        <v>2.077615819</v>
      </c>
      <c r="M48" s="26">
        <v>0.0</v>
      </c>
      <c r="N48" s="31">
        <f t="shared" si="13"/>
        <v>0</v>
      </c>
      <c r="O48" s="26">
        <v>7205.0</v>
      </c>
      <c r="P48" s="31">
        <f t="shared" si="14"/>
        <v>1.842819399</v>
      </c>
    </row>
    <row r="49" ht="15.75" customHeight="1">
      <c r="A49" s="25" t="s">
        <v>65</v>
      </c>
      <c r="B49" s="26">
        <v>185021.0</v>
      </c>
      <c r="C49" s="26">
        <v>0.0</v>
      </c>
      <c r="D49" s="31">
        <f t="shared" si="8"/>
        <v>0</v>
      </c>
      <c r="E49" s="26">
        <v>164010.0</v>
      </c>
      <c r="F49" s="31">
        <f t="shared" si="9"/>
        <v>88.64399176</v>
      </c>
      <c r="G49" s="26">
        <v>30267.0</v>
      </c>
      <c r="H49" s="31">
        <f t="shared" si="10"/>
        <v>16.35868361</v>
      </c>
      <c r="I49" s="26">
        <v>33058.0</v>
      </c>
      <c r="J49" s="31">
        <f t="shared" si="11"/>
        <v>17.86716102</v>
      </c>
      <c r="K49" s="26">
        <v>0.0</v>
      </c>
      <c r="L49" s="31">
        <f t="shared" si="12"/>
        <v>0</v>
      </c>
      <c r="M49" s="26">
        <v>0.0</v>
      </c>
      <c r="N49" s="31">
        <f t="shared" si="13"/>
        <v>0</v>
      </c>
      <c r="O49" s="26">
        <v>1485.0</v>
      </c>
      <c r="P49" s="31">
        <f t="shared" si="14"/>
        <v>0.8026115954</v>
      </c>
    </row>
    <row r="50" ht="15.75" customHeight="1">
      <c r="A50" s="28"/>
      <c r="B50" s="28"/>
      <c r="C50" s="28"/>
      <c r="D50" s="28"/>
      <c r="E50" s="28"/>
      <c r="F50" s="28"/>
      <c r="G50" s="28"/>
      <c r="H50" s="28"/>
      <c r="I50" s="28"/>
      <c r="J50" s="28"/>
      <c r="K50" s="28"/>
      <c r="L50" s="28"/>
      <c r="M50" s="28"/>
      <c r="N50" s="28"/>
      <c r="O50" s="28"/>
      <c r="P50" s="28"/>
    </row>
    <row r="51" ht="15.75" customHeight="1">
      <c r="A51" s="9"/>
      <c r="B51" s="9"/>
      <c r="C51" s="9"/>
      <c r="D51" s="9"/>
      <c r="E51" s="9"/>
      <c r="F51" s="9"/>
      <c r="G51" s="9"/>
      <c r="H51" s="9"/>
      <c r="I51" s="9"/>
      <c r="J51" s="9"/>
      <c r="K51" s="9"/>
      <c r="L51" s="9"/>
      <c r="M51" s="9"/>
      <c r="N51" s="9"/>
      <c r="O51" s="9"/>
      <c r="P51" s="9"/>
    </row>
    <row r="52" ht="15.75" customHeight="1">
      <c r="A52" s="29" t="s">
        <v>69</v>
      </c>
      <c r="B52" s="29"/>
      <c r="C52" s="29"/>
      <c r="D52" s="29"/>
      <c r="E52" s="29"/>
      <c r="F52" s="29"/>
      <c r="G52" s="29"/>
      <c r="H52" s="29"/>
      <c r="I52" s="29"/>
      <c r="J52" s="29"/>
      <c r="K52" s="29"/>
      <c r="L52" s="29"/>
      <c r="M52" s="29"/>
      <c r="N52" s="29"/>
      <c r="O52" s="29"/>
      <c r="P52" s="29"/>
    </row>
    <row r="53" ht="15.75" customHeight="1">
      <c r="A53" s="29" t="s">
        <v>72</v>
      </c>
      <c r="B53" s="29"/>
      <c r="C53" s="29"/>
      <c r="D53" s="29"/>
      <c r="E53" s="29"/>
      <c r="F53" s="29"/>
      <c r="G53" s="29"/>
      <c r="H53" s="29"/>
      <c r="I53" s="29"/>
      <c r="J53" s="29"/>
      <c r="K53" s="29"/>
      <c r="L53" s="29"/>
      <c r="M53" s="29"/>
      <c r="N53" s="29"/>
      <c r="O53" s="29"/>
      <c r="P53" s="29"/>
    </row>
    <row r="54" ht="15.75" customHeight="1">
      <c r="A54" s="29" t="s">
        <v>516</v>
      </c>
      <c r="B54" s="29"/>
      <c r="C54" s="29"/>
      <c r="D54" s="29"/>
      <c r="E54" s="29"/>
      <c r="F54" s="29"/>
      <c r="G54" s="29"/>
      <c r="H54" s="29"/>
      <c r="I54" s="29"/>
      <c r="J54" s="29"/>
      <c r="K54" s="29"/>
      <c r="L54" s="29"/>
      <c r="M54" s="29"/>
      <c r="N54" s="29"/>
      <c r="O54" s="29"/>
      <c r="P54" s="29"/>
    </row>
    <row r="55" ht="15.75" customHeight="1">
      <c r="A55" s="32" t="s">
        <v>76</v>
      </c>
    </row>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A4:A6"/>
    <mergeCell ref="B4:P4"/>
    <mergeCell ref="B5:B6"/>
    <mergeCell ref="C5:D5"/>
    <mergeCell ref="E5:F5"/>
    <mergeCell ref="G5:H5"/>
    <mergeCell ref="I5:J5"/>
    <mergeCell ref="O5:P5"/>
    <mergeCell ref="G29:H29"/>
    <mergeCell ref="I29:J29"/>
    <mergeCell ref="K29:L29"/>
    <mergeCell ref="M29:N29"/>
    <mergeCell ref="E29:F29"/>
    <mergeCell ref="A55:O55"/>
    <mergeCell ref="K5:L5"/>
    <mergeCell ref="M5:N5"/>
    <mergeCell ref="A28:A30"/>
    <mergeCell ref="B28:P28"/>
    <mergeCell ref="B29:B30"/>
    <mergeCell ref="C29:D29"/>
    <mergeCell ref="O29:P29"/>
  </mergeCells>
  <hyperlinks>
    <hyperlink display="BACK TO LIST" location="LIST!A1" ref="A1"/>
  </hyperlinks>
  <printOptions/>
  <pageMargins bottom="0.75" footer="0.0" header="0.0" left="0.7" right="0.7" top="0.75"/>
  <pageSetup orientation="landscape"/>
  <drawing r:id="rId1"/>
</worksheet>
</file>

<file path=xl/worksheets/sheet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9"/>
    <pageSetUpPr/>
  </sheetPr>
  <sheetViews>
    <sheetView workbookViewId="0"/>
  </sheetViews>
  <sheetFormatPr customHeight="1" defaultColWidth="12.63" defaultRowHeight="15.0"/>
  <cols>
    <col customWidth="1" min="1" max="1" width="39.0"/>
    <col customWidth="1" min="2" max="12" width="14.0"/>
    <col customWidth="1" min="13" max="26" width="8.63"/>
  </cols>
  <sheetData>
    <row r="1">
      <c r="A1" s="5" t="s">
        <v>1</v>
      </c>
    </row>
    <row r="2" ht="15.0" customHeight="1">
      <c r="A2" s="33" t="s">
        <v>503</v>
      </c>
      <c r="B2" s="7"/>
      <c r="C2" s="7"/>
      <c r="D2" s="7"/>
      <c r="E2" s="53"/>
      <c r="F2" s="53"/>
      <c r="G2" s="53"/>
      <c r="H2" s="53"/>
      <c r="K2" s="53"/>
      <c r="L2" s="53"/>
    </row>
    <row r="3">
      <c r="A3" s="8"/>
      <c r="B3" s="9"/>
      <c r="C3" s="9"/>
      <c r="D3" s="9"/>
      <c r="E3" s="9"/>
      <c r="F3" s="9"/>
      <c r="G3" s="9"/>
      <c r="H3" s="9"/>
      <c r="I3" s="9"/>
      <c r="J3" s="9"/>
      <c r="K3" s="9"/>
      <c r="L3" s="9"/>
    </row>
    <row r="4" ht="45.0" customHeight="1">
      <c r="A4" s="10" t="s">
        <v>13</v>
      </c>
      <c r="B4" s="21" t="s">
        <v>143</v>
      </c>
      <c r="C4" s="13" t="s">
        <v>504</v>
      </c>
      <c r="D4" s="15"/>
      <c r="E4" s="13" t="s">
        <v>505</v>
      </c>
      <c r="F4" s="15"/>
      <c r="G4" s="13" t="s">
        <v>506</v>
      </c>
      <c r="H4" s="15"/>
      <c r="I4" s="13" t="s">
        <v>507</v>
      </c>
      <c r="J4" s="15"/>
      <c r="K4" s="13" t="s">
        <v>508</v>
      </c>
      <c r="L4" s="15"/>
    </row>
    <row r="5">
      <c r="A5" s="18"/>
      <c r="B5" s="18"/>
      <c r="C5" s="24" t="s">
        <v>37</v>
      </c>
      <c r="D5" s="24" t="s">
        <v>39</v>
      </c>
      <c r="E5" s="24" t="s">
        <v>37</v>
      </c>
      <c r="F5" s="24" t="s">
        <v>39</v>
      </c>
      <c r="G5" s="24" t="s">
        <v>37</v>
      </c>
      <c r="H5" s="24" t="s">
        <v>39</v>
      </c>
      <c r="I5" s="24" t="s">
        <v>37</v>
      </c>
      <c r="J5" s="24" t="s">
        <v>39</v>
      </c>
      <c r="K5" s="24" t="s">
        <v>37</v>
      </c>
      <c r="L5" s="24" t="s">
        <v>39</v>
      </c>
    </row>
    <row r="6">
      <c r="A6" s="16"/>
      <c r="B6" s="20"/>
      <c r="C6" s="20"/>
      <c r="D6" s="20"/>
      <c r="E6" s="20"/>
      <c r="F6" s="20"/>
      <c r="G6" s="20"/>
      <c r="H6" s="20"/>
      <c r="I6" s="20"/>
      <c r="J6" s="20"/>
      <c r="K6" s="20"/>
      <c r="L6" s="20"/>
    </row>
    <row r="7">
      <c r="A7" s="22" t="s">
        <v>33</v>
      </c>
      <c r="B7" s="23">
        <v>9.1383228E7</v>
      </c>
      <c r="C7" s="23">
        <v>2.6886773E7</v>
      </c>
      <c r="D7" s="27">
        <f t="shared" ref="D7:D24" si="1">(C7/$B7)*100</f>
        <v>29.42199963</v>
      </c>
      <c r="E7" s="23">
        <v>2.36001E7</v>
      </c>
      <c r="F7" s="27">
        <f t="shared" ref="F7:F24" si="2">(E7/$B7)*100</f>
        <v>25.82541733</v>
      </c>
      <c r="G7" s="23">
        <v>2.0477198E7</v>
      </c>
      <c r="H7" s="27">
        <f t="shared" ref="H7:H24" si="3">(G7/$E7)*100</f>
        <v>86.76742048</v>
      </c>
      <c r="I7" s="23">
        <v>1.0455748E7</v>
      </c>
      <c r="J7" s="27">
        <f t="shared" ref="J7:J24" si="4">(I7/$E7)*100</f>
        <v>44.30382922</v>
      </c>
      <c r="K7" s="23">
        <v>1.0662351E7</v>
      </c>
      <c r="L7" s="27">
        <f t="shared" ref="L7:L24" si="5">(K7/$E7)*100</f>
        <v>45.17926195</v>
      </c>
    </row>
    <row r="8">
      <c r="A8" s="25" t="s">
        <v>38</v>
      </c>
      <c r="B8" s="26">
        <v>1.1919468E7</v>
      </c>
      <c r="C8" s="26">
        <v>5226727.0</v>
      </c>
      <c r="D8" s="31">
        <f t="shared" si="1"/>
        <v>43.85033795</v>
      </c>
      <c r="E8" s="26">
        <v>5131264.0</v>
      </c>
      <c r="F8" s="31">
        <f t="shared" si="2"/>
        <v>43.04943811</v>
      </c>
      <c r="G8" s="26">
        <v>4480877.0</v>
      </c>
      <c r="H8" s="31">
        <f t="shared" si="3"/>
        <v>87.32501388</v>
      </c>
      <c r="I8" s="26">
        <v>2203430.0</v>
      </c>
      <c r="J8" s="31">
        <f t="shared" si="4"/>
        <v>42.94127139</v>
      </c>
      <c r="K8" s="26">
        <v>2323468.0</v>
      </c>
      <c r="L8" s="31">
        <f t="shared" si="5"/>
        <v>45.28061702</v>
      </c>
    </row>
    <row r="9">
      <c r="A9" s="25" t="s">
        <v>41</v>
      </c>
      <c r="B9" s="26">
        <v>1496049.0</v>
      </c>
      <c r="C9" s="26">
        <v>437198.0</v>
      </c>
      <c r="D9" s="31">
        <f t="shared" si="1"/>
        <v>29.22350805</v>
      </c>
      <c r="E9" s="26">
        <v>405079.0</v>
      </c>
      <c r="F9" s="31">
        <f t="shared" si="2"/>
        <v>27.0765864</v>
      </c>
      <c r="G9" s="26">
        <v>320260.0</v>
      </c>
      <c r="H9" s="31">
        <f t="shared" si="3"/>
        <v>79.06112141</v>
      </c>
      <c r="I9" s="26">
        <v>174678.0</v>
      </c>
      <c r="J9" s="31">
        <f t="shared" si="4"/>
        <v>43.12195893</v>
      </c>
      <c r="K9" s="26">
        <v>159992.0</v>
      </c>
      <c r="L9" s="31">
        <f t="shared" si="5"/>
        <v>39.49649328</v>
      </c>
    </row>
    <row r="10">
      <c r="A10" s="25" t="s">
        <v>43</v>
      </c>
      <c r="B10" s="26">
        <v>4389510.0</v>
      </c>
      <c r="C10" s="26">
        <v>1266880.0</v>
      </c>
      <c r="D10" s="31">
        <f t="shared" si="1"/>
        <v>28.8615358</v>
      </c>
      <c r="E10" s="26">
        <v>498294.0</v>
      </c>
      <c r="F10" s="31">
        <f t="shared" si="2"/>
        <v>11.35192766</v>
      </c>
      <c r="G10" s="26">
        <v>445930.0</v>
      </c>
      <c r="H10" s="31">
        <f t="shared" si="3"/>
        <v>89.49134447</v>
      </c>
      <c r="I10" s="26">
        <v>190554.0</v>
      </c>
      <c r="J10" s="31">
        <f t="shared" si="4"/>
        <v>38.24127924</v>
      </c>
      <c r="K10" s="26">
        <v>162366.0</v>
      </c>
      <c r="L10" s="31">
        <f t="shared" si="5"/>
        <v>32.5843779</v>
      </c>
    </row>
    <row r="11">
      <c r="A11" s="25" t="s">
        <v>44</v>
      </c>
      <c r="B11" s="26">
        <v>3055894.0</v>
      </c>
      <c r="C11" s="26">
        <v>1180944.0</v>
      </c>
      <c r="D11" s="31">
        <f t="shared" si="1"/>
        <v>38.64479593</v>
      </c>
      <c r="E11" s="26">
        <v>808673.0</v>
      </c>
      <c r="F11" s="31">
        <f t="shared" si="2"/>
        <v>26.46273071</v>
      </c>
      <c r="G11" s="26">
        <v>597325.0</v>
      </c>
      <c r="H11" s="31">
        <f t="shared" si="3"/>
        <v>73.86483783</v>
      </c>
      <c r="I11" s="26">
        <v>355539.0</v>
      </c>
      <c r="J11" s="31">
        <f t="shared" si="4"/>
        <v>43.96573151</v>
      </c>
      <c r="K11" s="26">
        <v>356260.0</v>
      </c>
      <c r="L11" s="31">
        <f t="shared" si="5"/>
        <v>44.05488992</v>
      </c>
    </row>
    <row r="12">
      <c r="A12" s="25" t="s">
        <v>46</v>
      </c>
      <c r="B12" s="26">
        <v>1.070829E7</v>
      </c>
      <c r="C12" s="26">
        <v>2932860.0</v>
      </c>
      <c r="D12" s="31">
        <f t="shared" si="1"/>
        <v>27.38868671</v>
      </c>
      <c r="E12" s="26">
        <v>2844315.0</v>
      </c>
      <c r="F12" s="31">
        <f t="shared" si="2"/>
        <v>26.56180399</v>
      </c>
      <c r="G12" s="26">
        <v>2501430.0</v>
      </c>
      <c r="H12" s="31">
        <f t="shared" si="3"/>
        <v>87.94490062</v>
      </c>
      <c r="I12" s="26">
        <v>1514465.0</v>
      </c>
      <c r="J12" s="31">
        <f t="shared" si="4"/>
        <v>53.24533323</v>
      </c>
      <c r="K12" s="26">
        <v>1715640.0</v>
      </c>
      <c r="L12" s="31">
        <f t="shared" si="5"/>
        <v>60.3182137</v>
      </c>
    </row>
    <row r="13">
      <c r="A13" s="25" t="s">
        <v>48</v>
      </c>
      <c r="B13" s="26">
        <v>1.3985526E7</v>
      </c>
      <c r="C13" s="26">
        <v>4555156.0</v>
      </c>
      <c r="D13" s="31">
        <f t="shared" si="1"/>
        <v>32.57050182</v>
      </c>
      <c r="E13" s="26">
        <v>3537003.0</v>
      </c>
      <c r="F13" s="31">
        <f t="shared" si="2"/>
        <v>25.29045386</v>
      </c>
      <c r="G13" s="26">
        <v>3175734.0</v>
      </c>
      <c r="H13" s="31">
        <f t="shared" si="3"/>
        <v>89.78601375</v>
      </c>
      <c r="I13" s="26">
        <v>1244546.0</v>
      </c>
      <c r="J13" s="31">
        <f t="shared" si="4"/>
        <v>35.18645588</v>
      </c>
      <c r="K13" s="26">
        <v>1363221.0</v>
      </c>
      <c r="L13" s="31">
        <f t="shared" si="5"/>
        <v>38.54169759</v>
      </c>
    </row>
    <row r="14">
      <c r="A14" s="25" t="s">
        <v>50</v>
      </c>
      <c r="B14" s="26">
        <v>2538126.0</v>
      </c>
      <c r="C14" s="26">
        <v>900305.0</v>
      </c>
      <c r="D14" s="31">
        <f t="shared" si="1"/>
        <v>35.47124926</v>
      </c>
      <c r="E14" s="26">
        <v>526320.0</v>
      </c>
      <c r="F14" s="31">
        <f t="shared" si="2"/>
        <v>20.73655918</v>
      </c>
      <c r="G14" s="26">
        <v>483111.0</v>
      </c>
      <c r="H14" s="31">
        <f t="shared" si="3"/>
        <v>91.79035568</v>
      </c>
      <c r="I14" s="26">
        <v>191662.0</v>
      </c>
      <c r="J14" s="31">
        <f t="shared" si="4"/>
        <v>36.41548868</v>
      </c>
      <c r="K14" s="26">
        <v>204246.0</v>
      </c>
      <c r="L14" s="31">
        <f t="shared" si="5"/>
        <v>38.80642955</v>
      </c>
    </row>
    <row r="15">
      <c r="A15" s="25" t="s">
        <v>51</v>
      </c>
      <c r="B15" s="26">
        <v>4884805.0</v>
      </c>
      <c r="C15" s="26">
        <v>1134692.0</v>
      </c>
      <c r="D15" s="31">
        <f t="shared" si="1"/>
        <v>23.22901324</v>
      </c>
      <c r="E15" s="26">
        <v>1014630.0</v>
      </c>
      <c r="F15" s="31">
        <f t="shared" si="2"/>
        <v>20.77114644</v>
      </c>
      <c r="G15" s="26">
        <v>841264.0</v>
      </c>
      <c r="H15" s="31">
        <f t="shared" si="3"/>
        <v>82.91337729</v>
      </c>
      <c r="I15" s="26">
        <v>479222.0</v>
      </c>
      <c r="J15" s="31">
        <f t="shared" si="4"/>
        <v>47.23120744</v>
      </c>
      <c r="K15" s="26">
        <v>495399.0</v>
      </c>
      <c r="L15" s="31">
        <f t="shared" si="5"/>
        <v>48.82558174</v>
      </c>
    </row>
    <row r="16">
      <c r="A16" s="25" t="s">
        <v>53</v>
      </c>
      <c r="B16" s="26">
        <v>6586874.0</v>
      </c>
      <c r="C16" s="26">
        <v>1519581.0</v>
      </c>
      <c r="D16" s="31">
        <f t="shared" si="1"/>
        <v>23.06983555</v>
      </c>
      <c r="E16" s="26">
        <v>1562391.0</v>
      </c>
      <c r="F16" s="31">
        <f t="shared" si="2"/>
        <v>23.71976449</v>
      </c>
      <c r="G16" s="26">
        <v>1260860.0</v>
      </c>
      <c r="H16" s="31">
        <f t="shared" si="3"/>
        <v>80.70066968</v>
      </c>
      <c r="I16" s="26">
        <v>442455.0</v>
      </c>
      <c r="J16" s="31">
        <f t="shared" si="4"/>
        <v>28.31909554</v>
      </c>
      <c r="K16" s="26">
        <v>430895.0</v>
      </c>
      <c r="L16" s="31">
        <f t="shared" si="5"/>
        <v>27.57920393</v>
      </c>
    </row>
    <row r="17">
      <c r="A17" s="25" t="s">
        <v>54</v>
      </c>
      <c r="B17" s="26">
        <v>6668940.0</v>
      </c>
      <c r="C17" s="26">
        <v>2293785.0</v>
      </c>
      <c r="D17" s="31">
        <f t="shared" si="1"/>
        <v>34.39504629</v>
      </c>
      <c r="E17" s="26">
        <v>2382125.0</v>
      </c>
      <c r="F17" s="31">
        <f t="shared" si="2"/>
        <v>35.71969458</v>
      </c>
      <c r="G17" s="26">
        <v>2157692.0</v>
      </c>
      <c r="H17" s="31">
        <f t="shared" si="3"/>
        <v>90.57845411</v>
      </c>
      <c r="I17" s="26">
        <v>1403199.0</v>
      </c>
      <c r="J17" s="31">
        <f t="shared" si="4"/>
        <v>58.90534712</v>
      </c>
      <c r="K17" s="26">
        <v>1318609.0</v>
      </c>
      <c r="L17" s="31">
        <f t="shared" si="5"/>
        <v>55.354316</v>
      </c>
    </row>
    <row r="18">
      <c r="A18" s="25" t="s">
        <v>56</v>
      </c>
      <c r="B18" s="26">
        <v>3864215.0</v>
      </c>
      <c r="C18" s="26">
        <v>851096.0</v>
      </c>
      <c r="D18" s="31">
        <f t="shared" si="1"/>
        <v>22.02506848</v>
      </c>
      <c r="E18" s="26">
        <v>901583.0</v>
      </c>
      <c r="F18" s="31">
        <f t="shared" si="2"/>
        <v>23.33159516</v>
      </c>
      <c r="G18" s="26">
        <v>783442.0</v>
      </c>
      <c r="H18" s="31">
        <f t="shared" si="3"/>
        <v>86.89627023</v>
      </c>
      <c r="I18" s="26">
        <v>357416.0</v>
      </c>
      <c r="J18" s="31">
        <f t="shared" si="4"/>
        <v>39.64316097</v>
      </c>
      <c r="K18" s="26">
        <v>345940.0</v>
      </c>
      <c r="L18" s="31">
        <f t="shared" si="5"/>
        <v>38.3702887</v>
      </c>
    </row>
    <row r="19">
      <c r="A19" s="25" t="s">
        <v>57</v>
      </c>
      <c r="B19" s="26">
        <v>3062611.0</v>
      </c>
      <c r="C19" s="26">
        <v>591268.0</v>
      </c>
      <c r="D19" s="31">
        <f t="shared" si="1"/>
        <v>19.30601046</v>
      </c>
      <c r="E19" s="26">
        <v>540405.0</v>
      </c>
      <c r="F19" s="31">
        <f t="shared" si="2"/>
        <v>17.645238</v>
      </c>
      <c r="G19" s="26">
        <v>479849.0</v>
      </c>
      <c r="H19" s="31">
        <f t="shared" si="3"/>
        <v>88.79433018</v>
      </c>
      <c r="I19" s="26">
        <v>287037.0</v>
      </c>
      <c r="J19" s="31">
        <f t="shared" si="4"/>
        <v>53.11516363</v>
      </c>
      <c r="K19" s="26">
        <v>312857.0</v>
      </c>
      <c r="L19" s="31">
        <f t="shared" si="5"/>
        <v>57.89306169</v>
      </c>
    </row>
    <row r="20">
      <c r="A20" s="25" t="s">
        <v>59</v>
      </c>
      <c r="B20" s="26">
        <v>4175626.0</v>
      </c>
      <c r="C20" s="26">
        <v>857761.0</v>
      </c>
      <c r="D20" s="31">
        <f t="shared" si="1"/>
        <v>20.54209357</v>
      </c>
      <c r="E20" s="26">
        <v>1013270.0</v>
      </c>
      <c r="F20" s="31">
        <f t="shared" si="2"/>
        <v>24.26630163</v>
      </c>
      <c r="G20" s="26">
        <v>864256.0</v>
      </c>
      <c r="H20" s="31">
        <f t="shared" si="3"/>
        <v>85.29375191</v>
      </c>
      <c r="I20" s="26">
        <v>504943.0</v>
      </c>
      <c r="J20" s="31">
        <f t="shared" si="4"/>
        <v>49.83301588</v>
      </c>
      <c r="K20" s="26">
        <v>475917.0</v>
      </c>
      <c r="L20" s="31">
        <f t="shared" si="5"/>
        <v>46.96842895</v>
      </c>
    </row>
    <row r="21" ht="15.75" customHeight="1">
      <c r="A21" s="25" t="s">
        <v>60</v>
      </c>
      <c r="B21" s="26">
        <v>4443602.0</v>
      </c>
      <c r="C21" s="26">
        <v>1118432.0</v>
      </c>
      <c r="D21" s="31">
        <f t="shared" si="1"/>
        <v>25.16949088</v>
      </c>
      <c r="E21" s="26">
        <v>998104.0</v>
      </c>
      <c r="F21" s="31">
        <f t="shared" si="2"/>
        <v>22.4615976</v>
      </c>
      <c r="G21" s="26">
        <v>819379.0</v>
      </c>
      <c r="H21" s="31">
        <f t="shared" si="3"/>
        <v>82.09354937</v>
      </c>
      <c r="I21" s="26">
        <v>379683.0</v>
      </c>
      <c r="J21" s="31">
        <f t="shared" si="4"/>
        <v>38.04042465</v>
      </c>
      <c r="K21" s="26">
        <v>333087.0</v>
      </c>
      <c r="L21" s="31">
        <f t="shared" si="5"/>
        <v>33.37197326</v>
      </c>
    </row>
    <row r="22" ht="15.75" customHeight="1">
      <c r="A22" s="25" t="s">
        <v>63</v>
      </c>
      <c r="B22" s="26">
        <v>3636167.0</v>
      </c>
      <c r="C22" s="26">
        <v>1026269.0</v>
      </c>
      <c r="D22" s="31">
        <f t="shared" si="1"/>
        <v>28.22392371</v>
      </c>
      <c r="E22" s="26">
        <v>704255.0</v>
      </c>
      <c r="F22" s="31">
        <f t="shared" si="2"/>
        <v>19.36805983</v>
      </c>
      <c r="G22" s="26">
        <v>650079.0</v>
      </c>
      <c r="H22" s="31">
        <f t="shared" si="3"/>
        <v>92.30733186</v>
      </c>
      <c r="I22" s="26">
        <v>399838.0</v>
      </c>
      <c r="J22" s="31">
        <f t="shared" si="4"/>
        <v>56.77460579</v>
      </c>
      <c r="K22" s="26">
        <v>381833.0</v>
      </c>
      <c r="L22" s="31">
        <f t="shared" si="5"/>
        <v>54.21800342</v>
      </c>
    </row>
    <row r="23" ht="15.75" customHeight="1">
      <c r="A23" s="25" t="s">
        <v>64</v>
      </c>
      <c r="B23" s="26">
        <v>2220907.0</v>
      </c>
      <c r="C23" s="26">
        <v>554544.0</v>
      </c>
      <c r="D23" s="31">
        <f t="shared" si="1"/>
        <v>24.96925806</v>
      </c>
      <c r="E23" s="26">
        <v>445381.0</v>
      </c>
      <c r="F23" s="31">
        <f t="shared" si="2"/>
        <v>20.05401397</v>
      </c>
      <c r="G23" s="26">
        <v>379560.0</v>
      </c>
      <c r="H23" s="31">
        <f t="shared" si="3"/>
        <v>85.22141717</v>
      </c>
      <c r="I23" s="26">
        <v>222763.0</v>
      </c>
      <c r="J23" s="31">
        <f t="shared" si="4"/>
        <v>50.0162782</v>
      </c>
      <c r="K23" s="26">
        <v>171604.0</v>
      </c>
      <c r="L23" s="31">
        <f t="shared" si="5"/>
        <v>38.52970827</v>
      </c>
    </row>
    <row r="24" ht="15.75" customHeight="1">
      <c r="A24" s="25" t="s">
        <v>65</v>
      </c>
      <c r="B24" s="26">
        <v>3746618.0</v>
      </c>
      <c r="C24" s="26">
        <v>439276.0</v>
      </c>
      <c r="D24" s="31">
        <f t="shared" si="1"/>
        <v>11.72460069</v>
      </c>
      <c r="E24" s="26">
        <v>287007.0</v>
      </c>
      <c r="F24" s="31">
        <f t="shared" si="2"/>
        <v>7.660428685</v>
      </c>
      <c r="G24" s="26">
        <v>236150.0</v>
      </c>
      <c r="H24" s="31">
        <f t="shared" si="3"/>
        <v>82.28022313</v>
      </c>
      <c r="I24" s="26">
        <v>104318.0</v>
      </c>
      <c r="J24" s="31">
        <f t="shared" si="4"/>
        <v>36.34684868</v>
      </c>
      <c r="K24" s="26">
        <v>111016.0</v>
      </c>
      <c r="L24" s="31">
        <f t="shared" si="5"/>
        <v>38.68058967</v>
      </c>
    </row>
    <row r="25" ht="15.75" customHeight="1">
      <c r="A25" s="28"/>
      <c r="B25" s="28"/>
      <c r="C25" s="28"/>
      <c r="D25" s="28"/>
      <c r="E25" s="28"/>
      <c r="F25" s="28"/>
      <c r="G25" s="28"/>
      <c r="H25" s="28"/>
      <c r="I25" s="28"/>
      <c r="J25" s="28"/>
      <c r="K25" s="28"/>
      <c r="L25" s="28"/>
    </row>
    <row r="26" ht="15.75" customHeight="1">
      <c r="A26" s="9"/>
      <c r="B26" s="9"/>
      <c r="C26" s="9"/>
      <c r="D26" s="9"/>
      <c r="E26" s="9"/>
      <c r="F26" s="9"/>
      <c r="G26" s="9"/>
      <c r="H26" s="9"/>
      <c r="I26" s="9"/>
      <c r="J26" s="9"/>
      <c r="K26" s="9"/>
      <c r="L26" s="9"/>
    </row>
    <row r="27" ht="15.75" customHeight="1">
      <c r="A27" s="29" t="s">
        <v>69</v>
      </c>
      <c r="B27" s="29"/>
      <c r="C27" s="29"/>
      <c r="D27" s="29"/>
      <c r="E27" s="29"/>
      <c r="F27" s="29"/>
      <c r="G27" s="29"/>
      <c r="H27" s="29"/>
      <c r="I27" s="29"/>
      <c r="J27" s="29"/>
      <c r="K27" s="29"/>
      <c r="L27" s="29"/>
    </row>
    <row r="28" ht="15.75" customHeight="1">
      <c r="A28" s="29" t="s">
        <v>72</v>
      </c>
      <c r="B28" s="29"/>
      <c r="C28" s="29"/>
      <c r="D28" s="29"/>
      <c r="E28" s="29"/>
      <c r="F28" s="29"/>
      <c r="G28" s="29"/>
      <c r="H28" s="29"/>
      <c r="I28" s="29"/>
      <c r="J28" s="29"/>
      <c r="K28" s="29"/>
      <c r="L28" s="29"/>
    </row>
    <row r="29" ht="15.75" customHeight="1">
      <c r="A29" s="29" t="s">
        <v>515</v>
      </c>
      <c r="B29" s="29"/>
      <c r="C29" s="29"/>
      <c r="D29" s="29"/>
      <c r="E29" s="29"/>
      <c r="F29" s="29"/>
      <c r="G29" s="29"/>
      <c r="H29" s="29"/>
      <c r="I29" s="29"/>
      <c r="J29" s="29"/>
      <c r="K29" s="29"/>
      <c r="L29" s="29"/>
    </row>
    <row r="30" ht="15.75" customHeight="1">
      <c r="A30" s="32" t="s">
        <v>76</v>
      </c>
    </row>
    <row r="31" ht="15.75" customHeight="1">
      <c r="A31" s="32"/>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A30:L30"/>
    <mergeCell ref="A31:L31"/>
    <mergeCell ref="A4:A5"/>
    <mergeCell ref="B4:B5"/>
    <mergeCell ref="C4:D4"/>
    <mergeCell ref="E4:F4"/>
    <mergeCell ref="G4:H4"/>
    <mergeCell ref="I4:J4"/>
    <mergeCell ref="K4:L4"/>
  </mergeCells>
  <hyperlinks>
    <hyperlink display="BACK TO LIST" location="LIST!A1" ref="A1"/>
  </hyperlinks>
  <printOptions/>
  <pageMargins bottom="0.75" footer="0.0" header="0.0" left="0.7" right="0.7" top="0.75"/>
  <pageSetup paperSize="9" scale="63" orientation="portrait"/>
  <drawing r:id="rId1"/>
</worksheet>
</file>

<file path=xl/worksheets/sheet4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9"/>
    <pageSetUpPr/>
  </sheetPr>
  <sheetViews>
    <sheetView workbookViewId="0"/>
  </sheetViews>
  <sheetFormatPr customHeight="1" defaultColWidth="12.63" defaultRowHeight="15.0"/>
  <cols>
    <col customWidth="1" min="1" max="1" width="39.0"/>
    <col customWidth="1" min="2" max="16" width="14.0"/>
    <col customWidth="1" min="17" max="26" width="8.63"/>
  </cols>
  <sheetData>
    <row r="1">
      <c r="A1" s="5" t="s">
        <v>1</v>
      </c>
    </row>
    <row r="2" ht="15.0" customHeight="1">
      <c r="A2" s="33" t="s">
        <v>509</v>
      </c>
      <c r="B2" s="7"/>
      <c r="C2" s="7"/>
      <c r="D2" s="7"/>
      <c r="E2" s="53"/>
      <c r="F2" s="53"/>
      <c r="G2" s="53"/>
      <c r="H2" s="53"/>
      <c r="K2" s="53"/>
      <c r="L2" s="53"/>
      <c r="M2" s="53"/>
      <c r="N2" s="53"/>
    </row>
    <row r="3">
      <c r="A3" s="8"/>
      <c r="B3" s="9"/>
      <c r="C3" s="9"/>
      <c r="D3" s="9"/>
      <c r="E3" s="9"/>
      <c r="F3" s="9"/>
      <c r="G3" s="9"/>
      <c r="H3" s="9"/>
      <c r="I3" s="9"/>
      <c r="J3" s="9"/>
      <c r="K3" s="9"/>
      <c r="L3" s="9"/>
      <c r="M3" s="9"/>
      <c r="N3" s="9"/>
      <c r="O3" s="9"/>
      <c r="P3" s="9"/>
    </row>
    <row r="4" ht="15.0" customHeight="1">
      <c r="A4" s="10" t="s">
        <v>13</v>
      </c>
      <c r="B4" s="21" t="s">
        <v>143</v>
      </c>
      <c r="C4" s="49" t="s">
        <v>510</v>
      </c>
      <c r="D4" s="37"/>
      <c r="E4" s="13" t="s">
        <v>511</v>
      </c>
      <c r="F4" s="14"/>
      <c r="G4" s="14"/>
      <c r="H4" s="14"/>
      <c r="I4" s="14"/>
      <c r="J4" s="14"/>
      <c r="K4" s="14"/>
      <c r="L4" s="14"/>
      <c r="M4" s="14"/>
      <c r="N4" s="14"/>
      <c r="O4" s="14"/>
      <c r="P4" s="15"/>
    </row>
    <row r="5" ht="15.0" customHeight="1">
      <c r="A5" s="17"/>
      <c r="B5" s="17"/>
      <c r="C5" s="39"/>
      <c r="D5" s="40"/>
      <c r="E5" s="13" t="s">
        <v>85</v>
      </c>
      <c r="F5" s="15"/>
      <c r="G5" s="13" t="s">
        <v>512</v>
      </c>
      <c r="H5" s="15"/>
      <c r="I5" s="13" t="s">
        <v>67</v>
      </c>
      <c r="J5" s="15"/>
      <c r="K5" s="13" t="s">
        <v>513</v>
      </c>
      <c r="L5" s="15"/>
      <c r="M5" s="13" t="s">
        <v>514</v>
      </c>
      <c r="N5" s="15"/>
      <c r="O5" s="13" t="s">
        <v>170</v>
      </c>
      <c r="P5" s="15"/>
    </row>
    <row r="6">
      <c r="A6" s="18"/>
      <c r="B6" s="18"/>
      <c r="C6" s="24" t="s">
        <v>37</v>
      </c>
      <c r="D6" s="24" t="s">
        <v>39</v>
      </c>
      <c r="E6" s="24" t="s">
        <v>37</v>
      </c>
      <c r="F6" s="24" t="s">
        <v>39</v>
      </c>
      <c r="G6" s="24" t="s">
        <v>37</v>
      </c>
      <c r="H6" s="24" t="s">
        <v>39</v>
      </c>
      <c r="I6" s="24" t="s">
        <v>37</v>
      </c>
      <c r="J6" s="24" t="s">
        <v>39</v>
      </c>
      <c r="K6" s="24" t="s">
        <v>37</v>
      </c>
      <c r="L6" s="24" t="s">
        <v>39</v>
      </c>
      <c r="M6" s="24" t="s">
        <v>37</v>
      </c>
      <c r="N6" s="24" t="s">
        <v>39</v>
      </c>
      <c r="O6" s="24" t="s">
        <v>37</v>
      </c>
      <c r="P6" s="24" t="s">
        <v>39</v>
      </c>
    </row>
    <row r="7">
      <c r="A7" s="16"/>
      <c r="B7" s="20"/>
      <c r="C7" s="20"/>
      <c r="D7" s="20"/>
      <c r="E7" s="20"/>
      <c r="F7" s="20"/>
      <c r="G7" s="20"/>
      <c r="H7" s="20"/>
      <c r="I7" s="20"/>
      <c r="J7" s="20"/>
      <c r="K7" s="20"/>
      <c r="L7" s="20"/>
      <c r="M7" s="20"/>
      <c r="N7" s="20"/>
      <c r="O7" s="20"/>
      <c r="P7" s="20"/>
    </row>
    <row r="8">
      <c r="A8" s="22" t="s">
        <v>33</v>
      </c>
      <c r="B8" s="23">
        <v>9.1383228E7</v>
      </c>
      <c r="C8" s="23">
        <v>8947385.0</v>
      </c>
      <c r="D8" s="27">
        <f t="shared" ref="D8:D25" si="1">(C8/$B8)*100</f>
        <v>9.791058158</v>
      </c>
      <c r="E8" s="23">
        <v>3009013.0</v>
      </c>
      <c r="F8" s="27">
        <f t="shared" ref="F8:F25" si="2">(E8/$C8)*100</f>
        <v>33.63008298</v>
      </c>
      <c r="G8" s="23">
        <v>411980.0</v>
      </c>
      <c r="H8" s="27">
        <f t="shared" ref="H8:H25" si="3">(G8/$C8)*100</f>
        <v>4.604473821</v>
      </c>
      <c r="I8" s="23">
        <v>6421552.0</v>
      </c>
      <c r="J8" s="27">
        <f t="shared" ref="J8:J25" si="4">(I8/$C8)*100</f>
        <v>71.77015407</v>
      </c>
      <c r="K8" s="23">
        <v>3038070.0</v>
      </c>
      <c r="L8" s="27">
        <f t="shared" ref="L8:L25" si="5">(K8/$C8)*100</f>
        <v>33.95483708</v>
      </c>
      <c r="M8" s="23">
        <v>408155.0</v>
      </c>
      <c r="N8" s="27">
        <f t="shared" ref="N8:N25" si="6">(M8/$C8)*100</f>
        <v>4.5617239</v>
      </c>
      <c r="O8" s="23">
        <v>408561.0</v>
      </c>
      <c r="P8" s="27">
        <f t="shared" ref="P8:P25" si="7">(O8/$C8)*100</f>
        <v>4.566261539</v>
      </c>
    </row>
    <row r="9">
      <c r="A9" s="25" t="s">
        <v>38</v>
      </c>
      <c r="B9" s="26">
        <v>1.1919468E7</v>
      </c>
      <c r="C9" s="26">
        <v>1828568.0</v>
      </c>
      <c r="D9" s="31">
        <f t="shared" si="1"/>
        <v>15.34102025</v>
      </c>
      <c r="E9" s="26">
        <v>696204.0</v>
      </c>
      <c r="F9" s="31">
        <f t="shared" si="2"/>
        <v>38.07372764</v>
      </c>
      <c r="G9" s="26">
        <v>83063.0</v>
      </c>
      <c r="H9" s="31">
        <f t="shared" si="3"/>
        <v>4.54251633</v>
      </c>
      <c r="I9" s="26">
        <v>1441786.0</v>
      </c>
      <c r="J9" s="31">
        <f t="shared" si="4"/>
        <v>78.84781971</v>
      </c>
      <c r="K9" s="26">
        <v>545994.0</v>
      </c>
      <c r="L9" s="31">
        <f t="shared" si="5"/>
        <v>29.85910286</v>
      </c>
      <c r="M9" s="26">
        <v>175878.0</v>
      </c>
      <c r="N9" s="31">
        <f t="shared" si="6"/>
        <v>9.618346159</v>
      </c>
      <c r="O9" s="26">
        <v>46619.0</v>
      </c>
      <c r="P9" s="31">
        <f t="shared" si="7"/>
        <v>2.549481343</v>
      </c>
    </row>
    <row r="10">
      <c r="A10" s="25" t="s">
        <v>41</v>
      </c>
      <c r="B10" s="26">
        <v>1496049.0</v>
      </c>
      <c r="C10" s="26">
        <v>88184.0</v>
      </c>
      <c r="D10" s="31">
        <f t="shared" si="1"/>
        <v>5.894459339</v>
      </c>
      <c r="E10" s="26">
        <v>40378.0</v>
      </c>
      <c r="F10" s="31">
        <f t="shared" si="2"/>
        <v>45.78835163</v>
      </c>
      <c r="G10" s="26">
        <v>7772.0</v>
      </c>
      <c r="H10" s="31">
        <f t="shared" si="3"/>
        <v>8.813390184</v>
      </c>
      <c r="I10" s="26">
        <v>62993.0</v>
      </c>
      <c r="J10" s="31">
        <f t="shared" si="4"/>
        <v>71.4335934</v>
      </c>
      <c r="K10" s="26">
        <v>25263.0</v>
      </c>
      <c r="L10" s="31">
        <f t="shared" si="5"/>
        <v>28.64805407</v>
      </c>
      <c r="M10" s="26">
        <v>5250.0</v>
      </c>
      <c r="N10" s="31">
        <f t="shared" si="6"/>
        <v>5.953460945</v>
      </c>
      <c r="O10" s="26">
        <v>2885.0</v>
      </c>
      <c r="P10" s="31">
        <f t="shared" si="7"/>
        <v>3.271568539</v>
      </c>
    </row>
    <row r="11">
      <c r="A11" s="25" t="s">
        <v>43</v>
      </c>
      <c r="B11" s="26">
        <v>4389510.0</v>
      </c>
      <c r="C11" s="26">
        <v>581272.0</v>
      </c>
      <c r="D11" s="31">
        <f t="shared" si="1"/>
        <v>13.24229812</v>
      </c>
      <c r="E11" s="26">
        <v>163965.0</v>
      </c>
      <c r="F11" s="31">
        <f t="shared" si="2"/>
        <v>28.2079646</v>
      </c>
      <c r="G11" s="26">
        <v>44252.0</v>
      </c>
      <c r="H11" s="31">
        <f t="shared" si="3"/>
        <v>7.612959165</v>
      </c>
      <c r="I11" s="26">
        <v>405708.0</v>
      </c>
      <c r="J11" s="31">
        <f t="shared" si="4"/>
        <v>69.79658404</v>
      </c>
      <c r="K11" s="26">
        <v>338713.0</v>
      </c>
      <c r="L11" s="31">
        <f t="shared" si="5"/>
        <v>58.27099878</v>
      </c>
      <c r="M11" s="26">
        <v>20821.0</v>
      </c>
      <c r="N11" s="31">
        <f t="shared" si="6"/>
        <v>3.581971951</v>
      </c>
      <c r="O11" s="26">
        <v>15796.0</v>
      </c>
      <c r="P11" s="31">
        <f t="shared" si="7"/>
        <v>2.717488542</v>
      </c>
    </row>
    <row r="12">
      <c r="A12" s="25" t="s">
        <v>44</v>
      </c>
      <c r="B12" s="26">
        <v>3055894.0</v>
      </c>
      <c r="C12" s="26">
        <v>273345.0</v>
      </c>
      <c r="D12" s="31">
        <f t="shared" si="1"/>
        <v>8.9448456</v>
      </c>
      <c r="E12" s="26">
        <v>87905.0</v>
      </c>
      <c r="F12" s="31">
        <f t="shared" si="2"/>
        <v>32.15899321</v>
      </c>
      <c r="G12" s="26">
        <v>10371.0</v>
      </c>
      <c r="H12" s="31">
        <f t="shared" si="3"/>
        <v>3.794106349</v>
      </c>
      <c r="I12" s="26">
        <v>215460.0</v>
      </c>
      <c r="J12" s="31">
        <f t="shared" si="4"/>
        <v>78.82346485</v>
      </c>
      <c r="K12" s="26">
        <v>63621.0</v>
      </c>
      <c r="L12" s="31">
        <f t="shared" si="5"/>
        <v>23.27498217</v>
      </c>
      <c r="M12" s="26">
        <v>15552.0</v>
      </c>
      <c r="N12" s="31">
        <f t="shared" si="6"/>
        <v>5.689513252</v>
      </c>
      <c r="O12" s="26">
        <v>24051.0</v>
      </c>
      <c r="P12" s="31">
        <f t="shared" si="7"/>
        <v>8.798770784</v>
      </c>
    </row>
    <row r="13">
      <c r="A13" s="25" t="s">
        <v>46</v>
      </c>
      <c r="B13" s="26">
        <v>1.070829E7</v>
      </c>
      <c r="C13" s="26">
        <v>1200778.0</v>
      </c>
      <c r="D13" s="31">
        <f t="shared" si="1"/>
        <v>11.21353643</v>
      </c>
      <c r="E13" s="26">
        <v>457765.0</v>
      </c>
      <c r="F13" s="31">
        <f t="shared" si="2"/>
        <v>38.12236733</v>
      </c>
      <c r="G13" s="26">
        <v>81026.0</v>
      </c>
      <c r="H13" s="31">
        <f t="shared" si="3"/>
        <v>6.747791848</v>
      </c>
      <c r="I13" s="26">
        <v>835753.0</v>
      </c>
      <c r="J13" s="31">
        <f t="shared" si="4"/>
        <v>69.60095871</v>
      </c>
      <c r="K13" s="26">
        <v>459354.0</v>
      </c>
      <c r="L13" s="31">
        <f t="shared" si="5"/>
        <v>38.2546982</v>
      </c>
      <c r="M13" s="26">
        <v>52951.0</v>
      </c>
      <c r="N13" s="31">
        <f t="shared" si="6"/>
        <v>4.409724362</v>
      </c>
      <c r="O13" s="26">
        <v>32470.0</v>
      </c>
      <c r="P13" s="31">
        <f t="shared" si="7"/>
        <v>2.704080188</v>
      </c>
    </row>
    <row r="14">
      <c r="A14" s="25" t="s">
        <v>48</v>
      </c>
      <c r="B14" s="26">
        <v>1.3985526E7</v>
      </c>
      <c r="C14" s="26">
        <v>1635154.0</v>
      </c>
      <c r="D14" s="31">
        <f t="shared" si="1"/>
        <v>11.69175904</v>
      </c>
      <c r="E14" s="26">
        <v>426675.0</v>
      </c>
      <c r="F14" s="31">
        <f t="shared" si="2"/>
        <v>26.0938725</v>
      </c>
      <c r="G14" s="26">
        <v>0.0</v>
      </c>
      <c r="H14" s="31">
        <f t="shared" si="3"/>
        <v>0</v>
      </c>
      <c r="I14" s="26">
        <v>1214748.0</v>
      </c>
      <c r="J14" s="31">
        <f t="shared" si="4"/>
        <v>74.28951646</v>
      </c>
      <c r="K14" s="26">
        <v>451516.0</v>
      </c>
      <c r="L14" s="31">
        <f t="shared" si="5"/>
        <v>27.61305663</v>
      </c>
      <c r="M14" s="26">
        <v>36354.0</v>
      </c>
      <c r="N14" s="31">
        <f t="shared" si="6"/>
        <v>2.223276829</v>
      </c>
      <c r="O14" s="26">
        <v>99052.0</v>
      </c>
      <c r="P14" s="31">
        <f t="shared" si="7"/>
        <v>6.057655732</v>
      </c>
    </row>
    <row r="15">
      <c r="A15" s="25" t="s">
        <v>50</v>
      </c>
      <c r="B15" s="26">
        <v>2538126.0</v>
      </c>
      <c r="C15" s="26">
        <v>76935.0</v>
      </c>
      <c r="D15" s="31">
        <f t="shared" si="1"/>
        <v>3.031173393</v>
      </c>
      <c r="E15" s="26">
        <v>21433.0</v>
      </c>
      <c r="F15" s="31">
        <f t="shared" si="2"/>
        <v>27.85858192</v>
      </c>
      <c r="G15" s="26">
        <v>3354.0</v>
      </c>
      <c r="H15" s="31">
        <f t="shared" si="3"/>
        <v>4.359524274</v>
      </c>
      <c r="I15" s="26">
        <v>49367.0</v>
      </c>
      <c r="J15" s="31">
        <f t="shared" si="4"/>
        <v>64.16715409</v>
      </c>
      <c r="K15" s="26">
        <v>14981.0</v>
      </c>
      <c r="L15" s="31">
        <f t="shared" si="5"/>
        <v>19.4722818</v>
      </c>
      <c r="M15" s="26">
        <v>2196.0</v>
      </c>
      <c r="N15" s="31">
        <f t="shared" si="6"/>
        <v>2.854357575</v>
      </c>
      <c r="O15" s="26">
        <v>3720.0</v>
      </c>
      <c r="P15" s="31">
        <f t="shared" si="7"/>
        <v>4.835250536</v>
      </c>
    </row>
    <row r="16">
      <c r="A16" s="25" t="s">
        <v>51</v>
      </c>
      <c r="B16" s="26">
        <v>4884805.0</v>
      </c>
      <c r="C16" s="26">
        <v>463364.0</v>
      </c>
      <c r="D16" s="31">
        <f t="shared" si="1"/>
        <v>9.485823897</v>
      </c>
      <c r="E16" s="26">
        <v>140073.0</v>
      </c>
      <c r="F16" s="31">
        <f t="shared" si="2"/>
        <v>30.22958193</v>
      </c>
      <c r="G16" s="26">
        <v>21870.0</v>
      </c>
      <c r="H16" s="31">
        <f t="shared" si="3"/>
        <v>4.719831493</v>
      </c>
      <c r="I16" s="26">
        <v>321420.0</v>
      </c>
      <c r="J16" s="31">
        <f t="shared" si="4"/>
        <v>69.36663185</v>
      </c>
      <c r="K16" s="26">
        <v>111908.0</v>
      </c>
      <c r="L16" s="31">
        <f t="shared" si="5"/>
        <v>24.15120726</v>
      </c>
      <c r="M16" s="26">
        <v>21642.0</v>
      </c>
      <c r="N16" s="31">
        <f t="shared" si="6"/>
        <v>4.670626117</v>
      </c>
      <c r="O16" s="26">
        <v>42897.0</v>
      </c>
      <c r="P16" s="31">
        <f t="shared" si="7"/>
        <v>9.257732582</v>
      </c>
    </row>
    <row r="17">
      <c r="A17" s="25" t="s">
        <v>53</v>
      </c>
      <c r="B17" s="26">
        <v>6586874.0</v>
      </c>
      <c r="C17" s="26">
        <v>597842.0</v>
      </c>
      <c r="D17" s="31">
        <f t="shared" si="1"/>
        <v>9.076262883</v>
      </c>
      <c r="E17" s="26">
        <v>199398.0</v>
      </c>
      <c r="F17" s="31">
        <f t="shared" si="2"/>
        <v>33.35295948</v>
      </c>
      <c r="G17" s="26">
        <v>49564.0</v>
      </c>
      <c r="H17" s="31">
        <f t="shared" si="3"/>
        <v>8.290484777</v>
      </c>
      <c r="I17" s="26">
        <v>368532.0</v>
      </c>
      <c r="J17" s="31">
        <f t="shared" si="4"/>
        <v>61.64371188</v>
      </c>
      <c r="K17" s="26">
        <v>167923.0</v>
      </c>
      <c r="L17" s="31">
        <f t="shared" si="5"/>
        <v>28.08819053</v>
      </c>
      <c r="M17" s="26">
        <v>5477.0</v>
      </c>
      <c r="N17" s="31">
        <f t="shared" si="6"/>
        <v>0.9161283416</v>
      </c>
      <c r="O17" s="26">
        <v>6892.0</v>
      </c>
      <c r="P17" s="31">
        <f t="shared" si="7"/>
        <v>1.152812951</v>
      </c>
    </row>
    <row r="18">
      <c r="A18" s="25" t="s">
        <v>54</v>
      </c>
      <c r="B18" s="26">
        <v>6668940.0</v>
      </c>
      <c r="C18" s="26">
        <v>574587.0</v>
      </c>
      <c r="D18" s="31">
        <f t="shared" si="1"/>
        <v>8.615866989</v>
      </c>
      <c r="E18" s="26">
        <v>148444.0</v>
      </c>
      <c r="F18" s="31">
        <f t="shared" si="2"/>
        <v>25.83490403</v>
      </c>
      <c r="G18" s="26">
        <v>21296.0</v>
      </c>
      <c r="H18" s="31">
        <f t="shared" si="3"/>
        <v>3.706314274</v>
      </c>
      <c r="I18" s="26">
        <v>391971.0</v>
      </c>
      <c r="J18" s="31">
        <f t="shared" si="4"/>
        <v>68.21786779</v>
      </c>
      <c r="K18" s="26">
        <v>234647.0</v>
      </c>
      <c r="L18" s="31">
        <f t="shared" si="5"/>
        <v>40.8375059</v>
      </c>
      <c r="M18" s="26">
        <v>32776.0</v>
      </c>
      <c r="N18" s="31">
        <f t="shared" si="6"/>
        <v>5.704271068</v>
      </c>
      <c r="O18" s="26">
        <v>34034.0</v>
      </c>
      <c r="P18" s="31">
        <f t="shared" si="7"/>
        <v>5.923210932</v>
      </c>
    </row>
    <row r="19">
      <c r="A19" s="25" t="s">
        <v>56</v>
      </c>
      <c r="B19" s="26">
        <v>3864215.0</v>
      </c>
      <c r="C19" s="26">
        <v>155605.0</v>
      </c>
      <c r="D19" s="31">
        <f t="shared" si="1"/>
        <v>4.026820454</v>
      </c>
      <c r="E19" s="26">
        <v>51193.0</v>
      </c>
      <c r="F19" s="31">
        <f t="shared" si="2"/>
        <v>32.89932843</v>
      </c>
      <c r="G19" s="26">
        <v>0.0</v>
      </c>
      <c r="H19" s="31">
        <f t="shared" si="3"/>
        <v>0</v>
      </c>
      <c r="I19" s="26">
        <v>106841.0</v>
      </c>
      <c r="J19" s="31">
        <f t="shared" si="4"/>
        <v>68.6616754</v>
      </c>
      <c r="K19" s="26">
        <v>46297.0</v>
      </c>
      <c r="L19" s="31">
        <f t="shared" si="5"/>
        <v>29.75289997</v>
      </c>
      <c r="M19" s="26">
        <v>3578.0</v>
      </c>
      <c r="N19" s="31">
        <f t="shared" si="6"/>
        <v>2.299411973</v>
      </c>
      <c r="O19" s="26">
        <v>10146.0</v>
      </c>
      <c r="P19" s="31">
        <f t="shared" si="7"/>
        <v>6.52035603</v>
      </c>
    </row>
    <row r="20">
      <c r="A20" s="25" t="s">
        <v>57</v>
      </c>
      <c r="B20" s="26">
        <v>3062611.0</v>
      </c>
      <c r="C20" s="26">
        <v>68918.0</v>
      </c>
      <c r="D20" s="31">
        <f t="shared" si="1"/>
        <v>2.250302111</v>
      </c>
      <c r="E20" s="26">
        <v>37230.0</v>
      </c>
      <c r="F20" s="31">
        <f t="shared" si="2"/>
        <v>54.02072028</v>
      </c>
      <c r="G20" s="26">
        <v>15209.0</v>
      </c>
      <c r="H20" s="31">
        <f t="shared" si="3"/>
        <v>22.06825503</v>
      </c>
      <c r="I20" s="26">
        <v>48880.0</v>
      </c>
      <c r="J20" s="31">
        <f t="shared" si="4"/>
        <v>70.92486723</v>
      </c>
      <c r="K20" s="26">
        <v>30418.0</v>
      </c>
      <c r="L20" s="31">
        <f t="shared" si="5"/>
        <v>44.13651006</v>
      </c>
      <c r="M20" s="26">
        <v>4130.0</v>
      </c>
      <c r="N20" s="31">
        <f t="shared" si="6"/>
        <v>5.992628921</v>
      </c>
      <c r="O20" s="26">
        <v>1905.0</v>
      </c>
      <c r="P20" s="31">
        <f t="shared" si="7"/>
        <v>2.764154502</v>
      </c>
    </row>
    <row r="21" ht="15.75" customHeight="1">
      <c r="A21" s="25" t="s">
        <v>59</v>
      </c>
      <c r="B21" s="26">
        <v>4175626.0</v>
      </c>
      <c r="C21" s="26">
        <v>458278.0</v>
      </c>
      <c r="D21" s="31">
        <f t="shared" si="1"/>
        <v>10.97507296</v>
      </c>
      <c r="E21" s="26">
        <v>152845.0</v>
      </c>
      <c r="F21" s="31">
        <f t="shared" si="2"/>
        <v>33.3520265</v>
      </c>
      <c r="G21" s="26">
        <v>15982.0</v>
      </c>
      <c r="H21" s="31">
        <f t="shared" si="3"/>
        <v>3.487402843</v>
      </c>
      <c r="I21" s="26">
        <v>328292.0</v>
      </c>
      <c r="J21" s="31">
        <f t="shared" si="4"/>
        <v>71.63599387</v>
      </c>
      <c r="K21" s="26">
        <v>137990.0</v>
      </c>
      <c r="L21" s="31">
        <f t="shared" si="5"/>
        <v>30.11054425</v>
      </c>
      <c r="M21" s="26">
        <v>7502.0</v>
      </c>
      <c r="N21" s="31">
        <f t="shared" si="6"/>
        <v>1.63699763</v>
      </c>
      <c r="O21" s="26">
        <v>10045.0</v>
      </c>
      <c r="P21" s="31">
        <f t="shared" si="7"/>
        <v>2.191900986</v>
      </c>
    </row>
    <row r="22" ht="15.75" customHeight="1">
      <c r="A22" s="25" t="s">
        <v>60</v>
      </c>
      <c r="B22" s="26">
        <v>4443602.0</v>
      </c>
      <c r="C22" s="26">
        <v>127743.0</v>
      </c>
      <c r="D22" s="31">
        <f t="shared" si="1"/>
        <v>2.874762411</v>
      </c>
      <c r="E22" s="26">
        <v>42087.0</v>
      </c>
      <c r="F22" s="31">
        <f t="shared" si="2"/>
        <v>32.94661938</v>
      </c>
      <c r="G22" s="26">
        <v>6644.0</v>
      </c>
      <c r="H22" s="31">
        <f t="shared" si="3"/>
        <v>5.201067769</v>
      </c>
      <c r="I22" s="26">
        <v>69389.0</v>
      </c>
      <c r="J22" s="31">
        <f t="shared" si="4"/>
        <v>54.31921906</v>
      </c>
      <c r="K22" s="26">
        <v>23141.0</v>
      </c>
      <c r="L22" s="31">
        <f t="shared" si="5"/>
        <v>18.11527833</v>
      </c>
      <c r="M22" s="26">
        <v>3658.0</v>
      </c>
      <c r="N22" s="31">
        <f t="shared" si="6"/>
        <v>2.863561996</v>
      </c>
      <c r="O22" s="26">
        <v>14319.0</v>
      </c>
      <c r="P22" s="31">
        <f t="shared" si="7"/>
        <v>11.20922477</v>
      </c>
    </row>
    <row r="23" ht="15.75" customHeight="1">
      <c r="A23" s="25" t="s">
        <v>63</v>
      </c>
      <c r="B23" s="26">
        <v>3636167.0</v>
      </c>
      <c r="C23" s="26">
        <v>379394.0</v>
      </c>
      <c r="D23" s="31">
        <f t="shared" si="1"/>
        <v>10.43389921</v>
      </c>
      <c r="E23" s="26">
        <v>152533.0</v>
      </c>
      <c r="F23" s="31">
        <f t="shared" si="2"/>
        <v>40.20437856</v>
      </c>
      <c r="G23" s="26">
        <v>23722.0</v>
      </c>
      <c r="H23" s="31">
        <f t="shared" si="3"/>
        <v>6.252602835</v>
      </c>
      <c r="I23" s="26">
        <v>259336.0</v>
      </c>
      <c r="J23" s="31">
        <f t="shared" si="4"/>
        <v>68.35532454</v>
      </c>
      <c r="K23" s="26">
        <v>141916.0</v>
      </c>
      <c r="L23" s="31">
        <f t="shared" si="5"/>
        <v>37.40596847</v>
      </c>
      <c r="M23" s="26">
        <v>6488.0</v>
      </c>
      <c r="N23" s="31">
        <f t="shared" si="6"/>
        <v>1.710095573</v>
      </c>
      <c r="O23" s="26">
        <v>57426.0</v>
      </c>
      <c r="P23" s="31">
        <f t="shared" si="7"/>
        <v>15.13624359</v>
      </c>
    </row>
    <row r="24" ht="15.75" customHeight="1">
      <c r="A24" s="25" t="s">
        <v>64</v>
      </c>
      <c r="B24" s="26">
        <v>2220907.0</v>
      </c>
      <c r="C24" s="26">
        <v>171396.0</v>
      </c>
      <c r="D24" s="31">
        <f t="shared" si="1"/>
        <v>7.717387536</v>
      </c>
      <c r="E24" s="26">
        <v>33740.0</v>
      </c>
      <c r="F24" s="31">
        <f t="shared" si="2"/>
        <v>19.68540689</v>
      </c>
      <c r="G24" s="26">
        <v>16153.0</v>
      </c>
      <c r="H24" s="31">
        <f t="shared" si="3"/>
        <v>9.424373964</v>
      </c>
      <c r="I24" s="26">
        <v>121184.0</v>
      </c>
      <c r="J24" s="31">
        <f t="shared" si="4"/>
        <v>70.70410045</v>
      </c>
      <c r="K24" s="26">
        <v>93843.0</v>
      </c>
      <c r="L24" s="31">
        <f t="shared" si="5"/>
        <v>54.75215291</v>
      </c>
      <c r="M24" s="26">
        <v>8222.0</v>
      </c>
      <c r="N24" s="31">
        <f t="shared" si="6"/>
        <v>4.797078112</v>
      </c>
      <c r="O24" s="26">
        <v>3146.0</v>
      </c>
      <c r="P24" s="31">
        <f t="shared" si="7"/>
        <v>1.835515415</v>
      </c>
    </row>
    <row r="25" ht="15.75" customHeight="1">
      <c r="A25" s="25" t="s">
        <v>65</v>
      </c>
      <c r="B25" s="26">
        <v>3746618.0</v>
      </c>
      <c r="C25" s="26">
        <v>266023.0</v>
      </c>
      <c r="D25" s="31">
        <f t="shared" si="1"/>
        <v>7.100350236</v>
      </c>
      <c r="E25" s="26">
        <v>157145.0</v>
      </c>
      <c r="F25" s="31">
        <f t="shared" si="2"/>
        <v>59.07195994</v>
      </c>
      <c r="G25" s="26">
        <v>11703.0</v>
      </c>
      <c r="H25" s="31">
        <f t="shared" si="3"/>
        <v>4.399243674</v>
      </c>
      <c r="I25" s="26">
        <v>179890.0</v>
      </c>
      <c r="J25" s="31">
        <f t="shared" si="4"/>
        <v>67.62197254</v>
      </c>
      <c r="K25" s="26">
        <v>150546.0</v>
      </c>
      <c r="L25" s="31">
        <f t="shared" si="5"/>
        <v>56.59134736</v>
      </c>
      <c r="M25" s="26">
        <v>5679.0</v>
      </c>
      <c r="N25" s="31">
        <f t="shared" si="6"/>
        <v>2.13477782</v>
      </c>
      <c r="O25" s="26">
        <v>3159.0</v>
      </c>
      <c r="P25" s="31">
        <f t="shared" si="7"/>
        <v>1.187491307</v>
      </c>
    </row>
    <row r="26" ht="15.75" customHeight="1">
      <c r="A26" s="28"/>
      <c r="B26" s="28"/>
      <c r="C26" s="28"/>
      <c r="D26" s="28"/>
      <c r="E26" s="28"/>
      <c r="F26" s="28"/>
      <c r="G26" s="28"/>
      <c r="H26" s="28"/>
      <c r="I26" s="28"/>
      <c r="J26" s="28"/>
      <c r="K26" s="28"/>
      <c r="L26" s="28"/>
      <c r="M26" s="28"/>
      <c r="N26" s="28"/>
      <c r="O26" s="28"/>
      <c r="P26" s="28"/>
    </row>
    <row r="27" ht="15.75" customHeight="1">
      <c r="A27" s="9"/>
      <c r="B27" s="9"/>
      <c r="C27" s="9"/>
      <c r="D27" s="9"/>
      <c r="E27" s="9"/>
      <c r="F27" s="9"/>
      <c r="G27" s="9"/>
      <c r="H27" s="9"/>
      <c r="I27" s="9"/>
      <c r="J27" s="9"/>
      <c r="K27" s="9"/>
      <c r="L27" s="9"/>
      <c r="M27" s="9"/>
      <c r="N27" s="9"/>
      <c r="O27" s="9"/>
      <c r="P27" s="9"/>
    </row>
    <row r="28" ht="15.75" customHeight="1">
      <c r="A28" s="29" t="s">
        <v>69</v>
      </c>
      <c r="B28" s="29"/>
      <c r="C28" s="29"/>
      <c r="D28" s="29"/>
      <c r="E28" s="29"/>
      <c r="F28" s="29"/>
      <c r="G28" s="29"/>
      <c r="H28" s="29"/>
      <c r="I28" s="29"/>
      <c r="J28" s="29"/>
      <c r="K28" s="29"/>
      <c r="L28" s="29"/>
      <c r="M28" s="29"/>
      <c r="N28" s="29"/>
      <c r="O28" s="29"/>
      <c r="P28" s="29"/>
    </row>
    <row r="29" ht="15.75" customHeight="1">
      <c r="A29" s="29" t="s">
        <v>72</v>
      </c>
      <c r="B29" s="29"/>
      <c r="C29" s="29"/>
      <c r="D29" s="29"/>
      <c r="E29" s="29"/>
      <c r="F29" s="29"/>
      <c r="G29" s="29"/>
      <c r="H29" s="29"/>
      <c r="I29" s="29"/>
      <c r="J29" s="29"/>
      <c r="K29" s="29"/>
      <c r="L29" s="29"/>
      <c r="M29" s="29"/>
      <c r="N29" s="29"/>
      <c r="O29" s="29"/>
      <c r="P29" s="29"/>
    </row>
    <row r="30" ht="15.75" customHeight="1">
      <c r="A30" s="29" t="s">
        <v>518</v>
      </c>
      <c r="B30" s="29"/>
      <c r="C30" s="29"/>
      <c r="D30" s="29"/>
      <c r="E30" s="29"/>
      <c r="F30" s="29"/>
      <c r="G30" s="29"/>
      <c r="H30" s="29"/>
      <c r="I30" s="29"/>
      <c r="J30" s="29"/>
      <c r="K30" s="29"/>
      <c r="L30" s="29"/>
      <c r="M30" s="29"/>
      <c r="N30" s="29"/>
      <c r="O30" s="29"/>
      <c r="P30" s="29"/>
    </row>
    <row r="31" ht="15.75" customHeight="1">
      <c r="A31" s="32" t="s">
        <v>76</v>
      </c>
    </row>
    <row r="32" ht="15.75" customHeight="1">
      <c r="A32" s="32"/>
    </row>
    <row r="33" ht="15.75" customHeight="1">
      <c r="A33" s="32"/>
      <c r="B33" s="32"/>
      <c r="C33" s="32"/>
      <c r="D33" s="32"/>
      <c r="E33" s="32"/>
      <c r="F33" s="32"/>
      <c r="G33" s="32"/>
      <c r="H33" s="32"/>
      <c r="I33" s="32"/>
      <c r="J33" s="32"/>
      <c r="K33" s="32"/>
      <c r="L33" s="32"/>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K5:L5"/>
    <mergeCell ref="M5:N5"/>
    <mergeCell ref="O5:P5"/>
    <mergeCell ref="A31:P31"/>
    <mergeCell ref="A32:P32"/>
    <mergeCell ref="A4:A6"/>
    <mergeCell ref="B4:B6"/>
    <mergeCell ref="C4:D5"/>
    <mergeCell ref="E4:P4"/>
    <mergeCell ref="E5:F5"/>
    <mergeCell ref="G5:H5"/>
    <mergeCell ref="I5:J5"/>
  </mergeCells>
  <hyperlinks>
    <hyperlink display="BACK TO LIST" location="LIST!A1" ref="A1"/>
  </hyperlinks>
  <printOptions/>
  <pageMargins bottom="0.75" footer="0.0" header="0.0" left="0.7" right="0.7" top="0.75"/>
  <pageSetup paperSize="9" scale="63" orientation="portrait"/>
  <drawing r:id="rId1"/>
</worksheet>
</file>

<file path=xl/worksheets/sheet5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9"/>
    <pageSetUpPr/>
  </sheetPr>
  <sheetViews>
    <sheetView workbookViewId="0"/>
  </sheetViews>
  <sheetFormatPr customHeight="1" defaultColWidth="12.63" defaultRowHeight="15.0"/>
  <cols>
    <col customWidth="1" min="1" max="1" width="39.0"/>
    <col customWidth="1" min="2" max="4" width="14.0"/>
    <col customWidth="1" min="5" max="26" width="8.63"/>
  </cols>
  <sheetData>
    <row r="1">
      <c r="A1" s="5" t="s">
        <v>1</v>
      </c>
    </row>
    <row r="2">
      <c r="A2" s="33" t="s">
        <v>519</v>
      </c>
      <c r="B2" s="7"/>
      <c r="C2" s="7"/>
      <c r="D2" s="7"/>
    </row>
    <row r="3">
      <c r="A3" s="8"/>
      <c r="B3" s="9"/>
      <c r="C3" s="9"/>
      <c r="D3" s="9"/>
    </row>
    <row r="4" ht="48.0" customHeight="1">
      <c r="A4" s="10" t="s">
        <v>13</v>
      </c>
      <c r="B4" s="21" t="s">
        <v>143</v>
      </c>
      <c r="C4" s="13" t="s">
        <v>520</v>
      </c>
      <c r="D4" s="15"/>
    </row>
    <row r="5">
      <c r="A5" s="18"/>
      <c r="B5" s="18"/>
      <c r="C5" s="24" t="s">
        <v>37</v>
      </c>
      <c r="D5" s="24" t="s">
        <v>39</v>
      </c>
    </row>
    <row r="6">
      <c r="A6" s="16"/>
      <c r="B6" s="20"/>
      <c r="C6" s="20"/>
      <c r="D6" s="20"/>
    </row>
    <row r="7">
      <c r="A7" s="22" t="s">
        <v>33</v>
      </c>
      <c r="B7" s="23">
        <v>9.1383228E7</v>
      </c>
      <c r="C7" s="23">
        <v>3.1473815071988713E7</v>
      </c>
      <c r="D7" s="27">
        <f t="shared" ref="D7:D24" si="1">(C7/$B7)*100</f>
        <v>34.44156631</v>
      </c>
    </row>
    <row r="8">
      <c r="A8" s="25" t="s">
        <v>38</v>
      </c>
      <c r="B8" s="26">
        <v>1.1919468E7</v>
      </c>
      <c r="C8" s="26">
        <v>4776344.36779654</v>
      </c>
      <c r="D8" s="31">
        <f t="shared" si="1"/>
        <v>40.07179152</v>
      </c>
    </row>
    <row r="9">
      <c r="A9" s="25" t="s">
        <v>41</v>
      </c>
      <c r="B9" s="26">
        <v>1496049.0</v>
      </c>
      <c r="C9" s="26">
        <v>674708.0893853271</v>
      </c>
      <c r="D9" s="31">
        <f t="shared" si="1"/>
        <v>45.09933093</v>
      </c>
    </row>
    <row r="10">
      <c r="A10" s="25" t="s">
        <v>43</v>
      </c>
      <c r="B10" s="26">
        <v>4389510.0</v>
      </c>
      <c r="C10" s="26">
        <v>1368522.5294190072</v>
      </c>
      <c r="D10" s="31">
        <f t="shared" si="1"/>
        <v>31.17711383</v>
      </c>
    </row>
    <row r="11">
      <c r="A11" s="25" t="s">
        <v>44</v>
      </c>
      <c r="B11" s="26">
        <v>3055894.0</v>
      </c>
      <c r="C11" s="26">
        <v>1282934.1145621098</v>
      </c>
      <c r="D11" s="31">
        <f t="shared" si="1"/>
        <v>41.98228455</v>
      </c>
    </row>
    <row r="12">
      <c r="A12" s="25" t="s">
        <v>46</v>
      </c>
      <c r="B12" s="26">
        <v>1.070829E7</v>
      </c>
      <c r="C12" s="26">
        <v>4835991.476685307</v>
      </c>
      <c r="D12" s="31">
        <f t="shared" si="1"/>
        <v>45.16119265</v>
      </c>
    </row>
    <row r="13">
      <c r="A13" s="25" t="s">
        <v>48</v>
      </c>
      <c r="B13" s="26">
        <v>1.3985526E7</v>
      </c>
      <c r="C13" s="26">
        <v>4660450.066162927</v>
      </c>
      <c r="D13" s="31">
        <f t="shared" si="1"/>
        <v>33.32338066</v>
      </c>
    </row>
    <row r="14">
      <c r="A14" s="25" t="s">
        <v>50</v>
      </c>
      <c r="B14" s="26">
        <v>2538126.0</v>
      </c>
      <c r="C14" s="26">
        <v>1096808.7802717257</v>
      </c>
      <c r="D14" s="31">
        <f t="shared" si="1"/>
        <v>43.21333063</v>
      </c>
    </row>
    <row r="15">
      <c r="A15" s="25" t="s">
        <v>51</v>
      </c>
      <c r="B15" s="26">
        <v>4884805.0</v>
      </c>
      <c r="C15" s="26">
        <v>1879275.532715347</v>
      </c>
      <c r="D15" s="31">
        <f t="shared" si="1"/>
        <v>38.47186393</v>
      </c>
    </row>
    <row r="16">
      <c r="A16" s="25" t="s">
        <v>53</v>
      </c>
      <c r="B16" s="26">
        <v>6586874.0</v>
      </c>
      <c r="C16" s="26">
        <v>2006986.35449168</v>
      </c>
      <c r="D16" s="31">
        <f t="shared" si="1"/>
        <v>30.46948149</v>
      </c>
    </row>
    <row r="17">
      <c r="A17" s="25" t="s">
        <v>54</v>
      </c>
      <c r="B17" s="26">
        <v>6668940.0</v>
      </c>
      <c r="C17" s="26">
        <v>1858848.6525873002</v>
      </c>
      <c r="D17" s="31">
        <f t="shared" si="1"/>
        <v>27.87322502</v>
      </c>
    </row>
    <row r="18">
      <c r="A18" s="25" t="s">
        <v>56</v>
      </c>
      <c r="B18" s="26">
        <v>3864215.0</v>
      </c>
      <c r="C18" s="26">
        <v>1479307.994384572</v>
      </c>
      <c r="D18" s="31">
        <f t="shared" si="1"/>
        <v>38.28223829</v>
      </c>
    </row>
    <row r="19">
      <c r="A19" s="25" t="s">
        <v>57</v>
      </c>
      <c r="B19" s="26">
        <v>3062611.0</v>
      </c>
      <c r="C19" s="26">
        <v>653491.9755250906</v>
      </c>
      <c r="D19" s="31">
        <f t="shared" si="1"/>
        <v>21.3377401</v>
      </c>
    </row>
    <row r="20">
      <c r="A20" s="25" t="s">
        <v>59</v>
      </c>
      <c r="B20" s="26">
        <v>4175626.0</v>
      </c>
      <c r="C20" s="26">
        <v>1498150.9678359702</v>
      </c>
      <c r="D20" s="31">
        <f t="shared" si="1"/>
        <v>35.87847589</v>
      </c>
    </row>
    <row r="21" ht="15.75" customHeight="1">
      <c r="A21" s="25" t="s">
        <v>60</v>
      </c>
      <c r="B21" s="26">
        <v>4443602.0</v>
      </c>
      <c r="C21" s="26">
        <v>608481.7665409301</v>
      </c>
      <c r="D21" s="31">
        <f t="shared" si="1"/>
        <v>13.69343534</v>
      </c>
    </row>
    <row r="22" ht="15.75" customHeight="1">
      <c r="A22" s="25" t="s">
        <v>63</v>
      </c>
      <c r="B22" s="26">
        <v>3636167.0</v>
      </c>
      <c r="C22" s="26">
        <v>1342910.9708259217</v>
      </c>
      <c r="D22" s="31">
        <f t="shared" si="1"/>
        <v>36.9320488</v>
      </c>
    </row>
    <row r="23" ht="15.75" customHeight="1">
      <c r="A23" s="25" t="s">
        <v>64</v>
      </c>
      <c r="B23" s="26">
        <v>2220907.0</v>
      </c>
      <c r="C23" s="26">
        <v>610379.2938221889</v>
      </c>
      <c r="D23" s="31">
        <f t="shared" si="1"/>
        <v>27.48333423</v>
      </c>
    </row>
    <row r="24" ht="15.75" customHeight="1">
      <c r="A24" s="25" t="s">
        <v>65</v>
      </c>
      <c r="B24" s="26">
        <v>3746618.0</v>
      </c>
      <c r="C24" s="26">
        <v>840222.1389767713</v>
      </c>
      <c r="D24" s="31">
        <f t="shared" si="1"/>
        <v>22.4261491</v>
      </c>
    </row>
    <row r="25" ht="15.75" customHeight="1">
      <c r="A25" s="28"/>
      <c r="B25" s="28"/>
      <c r="C25" s="28"/>
      <c r="D25" s="28"/>
    </row>
    <row r="26" ht="15.75" customHeight="1">
      <c r="A26" s="9"/>
      <c r="B26" s="9"/>
      <c r="C26" s="9"/>
      <c r="D26" s="9"/>
    </row>
    <row r="27" ht="15.75" customHeight="1">
      <c r="A27" s="29" t="s">
        <v>69</v>
      </c>
      <c r="B27" s="29"/>
      <c r="C27" s="29"/>
      <c r="D27" s="29"/>
    </row>
    <row r="28" ht="15.75" customHeight="1">
      <c r="A28" s="29" t="s">
        <v>72</v>
      </c>
      <c r="B28" s="29"/>
      <c r="C28" s="29"/>
      <c r="D28" s="29"/>
    </row>
    <row r="29" ht="15.75" customHeight="1">
      <c r="A29" s="29" t="s">
        <v>521</v>
      </c>
      <c r="B29" s="29"/>
      <c r="C29" s="29"/>
      <c r="D29" s="29"/>
    </row>
    <row r="30" ht="15.75" customHeight="1">
      <c r="A30" s="32" t="s">
        <v>76</v>
      </c>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4:A5"/>
    <mergeCell ref="B4:B5"/>
    <mergeCell ref="C4:D4"/>
    <mergeCell ref="A30:D30"/>
  </mergeCells>
  <hyperlinks>
    <hyperlink display="BACK TO LIST" location="LIST!A1" ref="A1"/>
  </hyperlinks>
  <printOptions/>
  <pageMargins bottom="0.75" footer="0.0" header="0.0" left="0.7" right="0.7" top="0.75"/>
  <pageSetup orientation="landscape"/>
  <drawing r:id="rId1"/>
</worksheet>
</file>

<file path=xl/worksheets/sheet5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9"/>
    <pageSetUpPr/>
  </sheetPr>
  <sheetViews>
    <sheetView workbookViewId="0"/>
  </sheetViews>
  <sheetFormatPr customHeight="1" defaultColWidth="12.63" defaultRowHeight="15.0"/>
  <cols>
    <col customWidth="1" min="1" max="1" width="39.0"/>
    <col customWidth="1" min="2" max="20" width="14.0"/>
    <col customWidth="1" min="21" max="26" width="8.63"/>
  </cols>
  <sheetData>
    <row r="1">
      <c r="A1" s="5" t="s">
        <v>1</v>
      </c>
    </row>
    <row r="2" ht="15.0" customHeight="1">
      <c r="A2" s="33" t="s">
        <v>522</v>
      </c>
      <c r="B2" s="7"/>
      <c r="C2" s="7"/>
      <c r="D2" s="7"/>
      <c r="E2" s="53"/>
      <c r="F2" s="53"/>
      <c r="G2" s="53"/>
      <c r="H2" s="53"/>
      <c r="K2" s="53"/>
      <c r="L2" s="53"/>
      <c r="M2" s="53"/>
      <c r="N2" s="53"/>
      <c r="Q2" s="53"/>
      <c r="R2" s="53"/>
      <c r="S2" s="53"/>
      <c r="T2" s="53"/>
    </row>
    <row r="3">
      <c r="A3" s="8"/>
      <c r="B3" s="9"/>
      <c r="C3" s="9"/>
      <c r="D3" s="9"/>
      <c r="E3" s="9"/>
      <c r="F3" s="9"/>
      <c r="G3" s="9"/>
      <c r="H3" s="9"/>
      <c r="I3" s="9"/>
      <c r="J3" s="9"/>
      <c r="K3" s="9"/>
      <c r="L3" s="9"/>
      <c r="M3" s="9"/>
      <c r="N3" s="9"/>
      <c r="O3" s="9"/>
      <c r="P3" s="9"/>
      <c r="Q3" s="9"/>
      <c r="R3" s="9"/>
      <c r="S3" s="9"/>
      <c r="T3" s="9"/>
    </row>
    <row r="4" ht="30.0" customHeight="1">
      <c r="A4" s="10" t="s">
        <v>13</v>
      </c>
      <c r="B4" s="21" t="s">
        <v>143</v>
      </c>
      <c r="C4" s="13" t="s">
        <v>85</v>
      </c>
      <c r="D4" s="15"/>
      <c r="E4" s="13" t="s">
        <v>512</v>
      </c>
      <c r="F4" s="15"/>
      <c r="G4" s="13" t="s">
        <v>523</v>
      </c>
      <c r="H4" s="15"/>
      <c r="I4" s="13" t="s">
        <v>247</v>
      </c>
      <c r="J4" s="15"/>
      <c r="K4" s="13" t="s">
        <v>524</v>
      </c>
      <c r="L4" s="15"/>
      <c r="M4" s="13" t="s">
        <v>525</v>
      </c>
      <c r="N4" s="15"/>
      <c r="O4" s="13" t="s">
        <v>526</v>
      </c>
      <c r="P4" s="15"/>
      <c r="Q4" s="13" t="s">
        <v>527</v>
      </c>
      <c r="R4" s="15"/>
      <c r="S4" s="13" t="s">
        <v>170</v>
      </c>
      <c r="T4" s="15"/>
    </row>
    <row r="5">
      <c r="A5" s="18"/>
      <c r="B5" s="18"/>
      <c r="C5" s="24" t="s">
        <v>37</v>
      </c>
      <c r="D5" s="24" t="s">
        <v>39</v>
      </c>
      <c r="E5" s="24" t="s">
        <v>37</v>
      </c>
      <c r="F5" s="24" t="s">
        <v>39</v>
      </c>
      <c r="G5" s="24" t="s">
        <v>37</v>
      </c>
      <c r="H5" s="24" t="s">
        <v>39</v>
      </c>
      <c r="I5" s="24" t="s">
        <v>37</v>
      </c>
      <c r="J5" s="24" t="s">
        <v>39</v>
      </c>
      <c r="K5" s="24" t="s">
        <v>37</v>
      </c>
      <c r="L5" s="24" t="s">
        <v>39</v>
      </c>
      <c r="M5" s="24" t="s">
        <v>37</v>
      </c>
      <c r="N5" s="24" t="s">
        <v>39</v>
      </c>
      <c r="O5" s="24" t="s">
        <v>37</v>
      </c>
      <c r="P5" s="24" t="s">
        <v>39</v>
      </c>
      <c r="Q5" s="24" t="s">
        <v>37</v>
      </c>
      <c r="R5" s="24" t="s">
        <v>39</v>
      </c>
      <c r="S5" s="24" t="s">
        <v>37</v>
      </c>
      <c r="T5" s="24" t="s">
        <v>39</v>
      </c>
    </row>
    <row r="6">
      <c r="A6" s="16"/>
      <c r="B6" s="20"/>
      <c r="C6" s="20"/>
      <c r="D6" s="20"/>
      <c r="E6" s="20"/>
      <c r="F6" s="20"/>
      <c r="G6" s="20"/>
      <c r="H6" s="20"/>
      <c r="I6" s="20"/>
      <c r="J6" s="20"/>
      <c r="K6" s="20"/>
      <c r="L6" s="20"/>
      <c r="M6" s="20"/>
      <c r="N6" s="20"/>
      <c r="O6" s="20"/>
      <c r="P6" s="20"/>
      <c r="Q6" s="20"/>
      <c r="R6" s="20"/>
      <c r="S6" s="20"/>
      <c r="T6" s="20"/>
    </row>
    <row r="7">
      <c r="A7" s="22" t="s">
        <v>33</v>
      </c>
      <c r="B7" s="23">
        <v>9.1383228E7</v>
      </c>
      <c r="C7" s="23">
        <v>5.0837653E7</v>
      </c>
      <c r="D7" s="27">
        <f t="shared" ref="D7:D24" si="1">(C7/$B7)*100</f>
        <v>55.63127295</v>
      </c>
      <c r="E7" s="23">
        <v>1.4554322E7</v>
      </c>
      <c r="F7" s="27">
        <f t="shared" ref="F7:F24" si="2">(E7/$B7)*100</f>
        <v>15.92668843</v>
      </c>
      <c r="G7" s="23">
        <v>9922947.0</v>
      </c>
      <c r="H7" s="27">
        <f t="shared" ref="H7:H24" si="3">(G7/$B7)*100</f>
        <v>10.85860854</v>
      </c>
      <c r="I7" s="23">
        <v>5.9461129E7</v>
      </c>
      <c r="J7" s="27">
        <f t="shared" ref="J7:J24" si="4">(I7/$B7)*100</f>
        <v>65.06787985</v>
      </c>
      <c r="K7" s="23">
        <v>2827779.0</v>
      </c>
      <c r="L7" s="27">
        <f t="shared" ref="L7:L24" si="5">(K7/$B7)*100</f>
        <v>3.094417938</v>
      </c>
      <c r="M7" s="23">
        <v>5.3817498E7</v>
      </c>
      <c r="N7" s="27">
        <f t="shared" ref="N7:N24" si="6">(M7/$B7)*100</f>
        <v>58.8920956</v>
      </c>
      <c r="O7" s="23">
        <v>4.7817023E7</v>
      </c>
      <c r="P7" s="27">
        <f t="shared" ref="P7:P24" si="7">(O7/$B7)*100</f>
        <v>52.32581957</v>
      </c>
      <c r="Q7" s="23">
        <v>5.5133676E7</v>
      </c>
      <c r="R7" s="27">
        <f t="shared" ref="R7:R24" si="8">(Q7/$B7)*100</f>
        <v>60.33237959</v>
      </c>
      <c r="S7" s="23">
        <v>153423.0</v>
      </c>
      <c r="T7" s="27">
        <f t="shared" ref="T7:T24" si="9">(S7/$B7)*100</f>
        <v>0.1678896701</v>
      </c>
    </row>
    <row r="8">
      <c r="A8" s="25" t="s">
        <v>38</v>
      </c>
      <c r="B8" s="26">
        <v>1.1919468E7</v>
      </c>
      <c r="C8" s="26">
        <v>8263289.0</v>
      </c>
      <c r="D8" s="31">
        <f t="shared" si="1"/>
        <v>69.32598837</v>
      </c>
      <c r="E8" s="26">
        <v>859505.0</v>
      </c>
      <c r="F8" s="31">
        <f t="shared" si="2"/>
        <v>7.210934246</v>
      </c>
      <c r="G8" s="26">
        <v>2666162.0</v>
      </c>
      <c r="H8" s="31">
        <f t="shared" si="3"/>
        <v>22.36812918</v>
      </c>
      <c r="I8" s="26">
        <v>9606672.0</v>
      </c>
      <c r="J8" s="31">
        <f t="shared" si="4"/>
        <v>80.596483</v>
      </c>
      <c r="K8" s="26">
        <v>638556.0</v>
      </c>
      <c r="L8" s="31">
        <f t="shared" si="5"/>
        <v>5.357252522</v>
      </c>
      <c r="M8" s="26">
        <v>7075097.0</v>
      </c>
      <c r="N8" s="31">
        <f t="shared" si="6"/>
        <v>59.35748978</v>
      </c>
      <c r="O8" s="26">
        <v>5462957.0</v>
      </c>
      <c r="P8" s="31">
        <f t="shared" si="7"/>
        <v>45.83222171</v>
      </c>
      <c r="Q8" s="26">
        <v>8666630.0</v>
      </c>
      <c r="R8" s="31">
        <f t="shared" si="8"/>
        <v>72.70987262</v>
      </c>
      <c r="S8" s="26">
        <v>0.0</v>
      </c>
      <c r="T8" s="31">
        <f t="shared" si="9"/>
        <v>0</v>
      </c>
    </row>
    <row r="9">
      <c r="A9" s="25" t="s">
        <v>41</v>
      </c>
      <c r="B9" s="26">
        <v>1496049.0</v>
      </c>
      <c r="C9" s="26">
        <v>895432.0</v>
      </c>
      <c r="D9" s="31">
        <f t="shared" si="1"/>
        <v>59.85311978</v>
      </c>
      <c r="E9" s="26">
        <v>409585.0</v>
      </c>
      <c r="F9" s="31">
        <f t="shared" si="2"/>
        <v>27.37777974</v>
      </c>
      <c r="G9" s="26">
        <v>262385.0</v>
      </c>
      <c r="H9" s="31">
        <f t="shared" si="3"/>
        <v>17.53852982</v>
      </c>
      <c r="I9" s="26">
        <v>1041196.0</v>
      </c>
      <c r="J9" s="31">
        <f t="shared" si="4"/>
        <v>69.59638354</v>
      </c>
      <c r="K9" s="26">
        <v>117803.0</v>
      </c>
      <c r="L9" s="31">
        <f t="shared" si="5"/>
        <v>7.874274172</v>
      </c>
      <c r="M9" s="26">
        <v>1135134.0</v>
      </c>
      <c r="N9" s="31">
        <f t="shared" si="6"/>
        <v>75.87545595</v>
      </c>
      <c r="O9" s="26">
        <v>758256.0</v>
      </c>
      <c r="P9" s="31">
        <f t="shared" si="7"/>
        <v>50.6839014</v>
      </c>
      <c r="Q9" s="26">
        <v>969870.0</v>
      </c>
      <c r="R9" s="31">
        <f t="shared" si="8"/>
        <v>64.82875895</v>
      </c>
      <c r="S9" s="26">
        <v>0.0</v>
      </c>
      <c r="T9" s="31">
        <f t="shared" si="9"/>
        <v>0</v>
      </c>
    </row>
    <row r="10">
      <c r="A10" s="25" t="s">
        <v>43</v>
      </c>
      <c r="B10" s="26">
        <v>4389510.0</v>
      </c>
      <c r="C10" s="26">
        <v>2450584.0</v>
      </c>
      <c r="D10" s="31">
        <f t="shared" si="1"/>
        <v>55.82819039</v>
      </c>
      <c r="E10" s="26">
        <v>1112200.0</v>
      </c>
      <c r="F10" s="31">
        <f t="shared" si="2"/>
        <v>25.33768006</v>
      </c>
      <c r="G10" s="26">
        <v>270133.0</v>
      </c>
      <c r="H10" s="31">
        <f t="shared" si="3"/>
        <v>6.154058198</v>
      </c>
      <c r="I10" s="26">
        <v>3027808.0</v>
      </c>
      <c r="J10" s="31">
        <f t="shared" si="4"/>
        <v>68.97826865</v>
      </c>
      <c r="K10" s="26">
        <v>188417.0</v>
      </c>
      <c r="L10" s="31">
        <f t="shared" si="5"/>
        <v>4.292438108</v>
      </c>
      <c r="M10" s="26">
        <v>2201808.0</v>
      </c>
      <c r="N10" s="31">
        <f t="shared" si="6"/>
        <v>50.16067853</v>
      </c>
      <c r="O10" s="26">
        <v>1550509.0</v>
      </c>
      <c r="P10" s="31">
        <f t="shared" si="7"/>
        <v>35.32305428</v>
      </c>
      <c r="Q10" s="26">
        <v>2722115.0</v>
      </c>
      <c r="R10" s="31">
        <f t="shared" si="8"/>
        <v>62.01409725</v>
      </c>
      <c r="S10" s="26">
        <v>0.0</v>
      </c>
      <c r="T10" s="31">
        <f t="shared" si="9"/>
        <v>0</v>
      </c>
    </row>
    <row r="11">
      <c r="A11" s="25" t="s">
        <v>44</v>
      </c>
      <c r="B11" s="26">
        <v>3055894.0</v>
      </c>
      <c r="C11" s="26">
        <v>1649246.0</v>
      </c>
      <c r="D11" s="31">
        <f t="shared" si="1"/>
        <v>53.9693458</v>
      </c>
      <c r="E11" s="26">
        <v>631351.0</v>
      </c>
      <c r="F11" s="31">
        <f t="shared" si="2"/>
        <v>20.66010797</v>
      </c>
      <c r="G11" s="26">
        <v>321185.0</v>
      </c>
      <c r="H11" s="31">
        <f t="shared" si="3"/>
        <v>10.51034493</v>
      </c>
      <c r="I11" s="26">
        <v>2027655.0</v>
      </c>
      <c r="J11" s="31">
        <f t="shared" si="4"/>
        <v>66.35226876</v>
      </c>
      <c r="K11" s="26">
        <v>40591.0</v>
      </c>
      <c r="L11" s="31">
        <f t="shared" si="5"/>
        <v>1.328285602</v>
      </c>
      <c r="M11" s="26">
        <v>1869227.0</v>
      </c>
      <c r="N11" s="31">
        <f t="shared" si="6"/>
        <v>61.16792664</v>
      </c>
      <c r="O11" s="26">
        <v>1930402.0</v>
      </c>
      <c r="P11" s="31">
        <f t="shared" si="7"/>
        <v>63.16979581</v>
      </c>
      <c r="Q11" s="26">
        <v>2003244.0</v>
      </c>
      <c r="R11" s="31">
        <f t="shared" si="8"/>
        <v>65.55345179</v>
      </c>
      <c r="S11" s="26">
        <v>11097.0</v>
      </c>
      <c r="T11" s="31">
        <f t="shared" si="9"/>
        <v>0.3631343234</v>
      </c>
    </row>
    <row r="12">
      <c r="A12" s="25" t="s">
        <v>46</v>
      </c>
      <c r="B12" s="26">
        <v>1.070829E7</v>
      </c>
      <c r="C12" s="26">
        <v>6524471.0</v>
      </c>
      <c r="D12" s="31">
        <f t="shared" si="1"/>
        <v>60.92915862</v>
      </c>
      <c r="E12" s="26">
        <v>964100.0</v>
      </c>
      <c r="F12" s="31">
        <f t="shared" si="2"/>
        <v>9.003304916</v>
      </c>
      <c r="G12" s="26">
        <v>1679689.0</v>
      </c>
      <c r="H12" s="31">
        <f t="shared" si="3"/>
        <v>15.68587515</v>
      </c>
      <c r="I12" s="26">
        <v>7818211.0</v>
      </c>
      <c r="J12" s="31">
        <f t="shared" si="4"/>
        <v>73.01082619</v>
      </c>
      <c r="K12" s="26">
        <v>553498.0</v>
      </c>
      <c r="L12" s="31">
        <f t="shared" si="5"/>
        <v>5.168873835</v>
      </c>
      <c r="M12" s="26">
        <v>6684497.0</v>
      </c>
      <c r="N12" s="31">
        <f t="shared" si="6"/>
        <v>62.4235709</v>
      </c>
      <c r="O12" s="26">
        <v>6862381.0</v>
      </c>
      <c r="P12" s="31">
        <f t="shared" si="7"/>
        <v>64.08475116</v>
      </c>
      <c r="Q12" s="26">
        <v>7569553.0</v>
      </c>
      <c r="R12" s="31">
        <f t="shared" si="8"/>
        <v>70.68871874</v>
      </c>
      <c r="S12" s="26">
        <v>14578.0</v>
      </c>
      <c r="T12" s="31">
        <f t="shared" si="9"/>
        <v>0.1361375159</v>
      </c>
    </row>
    <row r="13">
      <c r="A13" s="25" t="s">
        <v>48</v>
      </c>
      <c r="B13" s="26">
        <v>1.3985526E7</v>
      </c>
      <c r="C13" s="26">
        <v>8200100.0</v>
      </c>
      <c r="D13" s="31">
        <f t="shared" si="1"/>
        <v>58.63276076</v>
      </c>
      <c r="E13" s="26">
        <v>996179.0</v>
      </c>
      <c r="F13" s="31">
        <f t="shared" si="2"/>
        <v>7.122928376</v>
      </c>
      <c r="G13" s="26">
        <v>1178257.0</v>
      </c>
      <c r="H13" s="31">
        <f t="shared" si="3"/>
        <v>8.424831501</v>
      </c>
      <c r="I13" s="26">
        <v>9925447.0</v>
      </c>
      <c r="J13" s="31">
        <f t="shared" si="4"/>
        <v>70.96942224</v>
      </c>
      <c r="K13" s="26">
        <v>426913.0</v>
      </c>
      <c r="L13" s="31">
        <f t="shared" si="5"/>
        <v>3.052534456</v>
      </c>
      <c r="M13" s="26">
        <v>6648385.0</v>
      </c>
      <c r="N13" s="31">
        <f t="shared" si="6"/>
        <v>47.53761138</v>
      </c>
      <c r="O13" s="26">
        <v>6457426.0</v>
      </c>
      <c r="P13" s="31">
        <f t="shared" si="7"/>
        <v>46.17220689</v>
      </c>
      <c r="Q13" s="26">
        <v>8090057.0</v>
      </c>
      <c r="R13" s="31">
        <f t="shared" si="8"/>
        <v>57.84592585</v>
      </c>
      <c r="S13" s="26">
        <v>7081.0</v>
      </c>
      <c r="T13" s="31">
        <f t="shared" si="9"/>
        <v>0.05063091656</v>
      </c>
    </row>
    <row r="14">
      <c r="A14" s="25" t="s">
        <v>50</v>
      </c>
      <c r="B14" s="26">
        <v>2538126.0</v>
      </c>
      <c r="C14" s="26">
        <v>1542159.0</v>
      </c>
      <c r="D14" s="31">
        <f t="shared" si="1"/>
        <v>60.75974952</v>
      </c>
      <c r="E14" s="26">
        <v>304001.0</v>
      </c>
      <c r="F14" s="31">
        <f t="shared" si="2"/>
        <v>11.97738016</v>
      </c>
      <c r="G14" s="26">
        <v>172208.0</v>
      </c>
      <c r="H14" s="31">
        <f t="shared" si="3"/>
        <v>6.784848349</v>
      </c>
      <c r="I14" s="26">
        <v>1581316.0</v>
      </c>
      <c r="J14" s="31">
        <f t="shared" si="4"/>
        <v>62.30250192</v>
      </c>
      <c r="K14" s="26">
        <v>84814.0</v>
      </c>
      <c r="L14" s="31">
        <f t="shared" si="5"/>
        <v>3.341599274</v>
      </c>
      <c r="M14" s="26">
        <v>1511297.0</v>
      </c>
      <c r="N14" s="31">
        <f t="shared" si="6"/>
        <v>59.54381303</v>
      </c>
      <c r="O14" s="26">
        <v>1566611.0</v>
      </c>
      <c r="P14" s="31">
        <f t="shared" si="7"/>
        <v>61.72313746</v>
      </c>
      <c r="Q14" s="26">
        <v>1507058.0</v>
      </c>
      <c r="R14" s="31">
        <f t="shared" si="8"/>
        <v>59.37680005</v>
      </c>
      <c r="S14" s="26">
        <v>4706.0</v>
      </c>
      <c r="T14" s="31">
        <f t="shared" si="9"/>
        <v>0.1854123869</v>
      </c>
    </row>
    <row r="15">
      <c r="A15" s="25" t="s">
        <v>51</v>
      </c>
      <c r="B15" s="26">
        <v>4884805.0</v>
      </c>
      <c r="C15" s="26">
        <v>2650116.0</v>
      </c>
      <c r="D15" s="31">
        <f t="shared" si="1"/>
        <v>54.2522373</v>
      </c>
      <c r="E15" s="26">
        <v>1042852.0</v>
      </c>
      <c r="F15" s="31">
        <f t="shared" si="2"/>
        <v>21.34889724</v>
      </c>
      <c r="G15" s="26">
        <v>438011.0</v>
      </c>
      <c r="H15" s="31">
        <f t="shared" si="3"/>
        <v>8.966806249</v>
      </c>
      <c r="I15" s="26">
        <v>2534909.0</v>
      </c>
      <c r="J15" s="31">
        <f t="shared" si="4"/>
        <v>51.89376034</v>
      </c>
      <c r="K15" s="26">
        <v>33056.0</v>
      </c>
      <c r="L15" s="31">
        <f t="shared" si="5"/>
        <v>0.6767107387</v>
      </c>
      <c r="M15" s="26">
        <v>2912207.0</v>
      </c>
      <c r="N15" s="31">
        <f t="shared" si="6"/>
        <v>59.61767153</v>
      </c>
      <c r="O15" s="26">
        <v>3442635.0</v>
      </c>
      <c r="P15" s="31">
        <f t="shared" si="7"/>
        <v>70.47640592</v>
      </c>
      <c r="Q15" s="26">
        <v>2782143.0</v>
      </c>
      <c r="R15" s="31">
        <f t="shared" si="8"/>
        <v>56.95504734</v>
      </c>
      <c r="S15" s="26">
        <v>0.0</v>
      </c>
      <c r="T15" s="31">
        <f t="shared" si="9"/>
        <v>0</v>
      </c>
    </row>
    <row r="16">
      <c r="A16" s="25" t="s">
        <v>53</v>
      </c>
      <c r="B16" s="26">
        <v>6586874.0</v>
      </c>
      <c r="C16" s="26">
        <v>3679296.0</v>
      </c>
      <c r="D16" s="31">
        <f t="shared" si="1"/>
        <v>55.8579988</v>
      </c>
      <c r="E16" s="26">
        <v>1983613.0</v>
      </c>
      <c r="F16" s="31">
        <f t="shared" si="2"/>
        <v>30.11463404</v>
      </c>
      <c r="G16" s="26">
        <v>507230.0</v>
      </c>
      <c r="H16" s="31">
        <f t="shared" si="3"/>
        <v>7.700617926</v>
      </c>
      <c r="I16" s="26">
        <v>4092317.0</v>
      </c>
      <c r="J16" s="31">
        <f t="shared" si="4"/>
        <v>62.12836317</v>
      </c>
      <c r="K16" s="26">
        <v>77297.0</v>
      </c>
      <c r="L16" s="31">
        <f t="shared" si="5"/>
        <v>1.17350051</v>
      </c>
      <c r="M16" s="26">
        <v>3260258.0</v>
      </c>
      <c r="N16" s="31">
        <f t="shared" si="6"/>
        <v>49.4962861</v>
      </c>
      <c r="O16" s="26">
        <v>3136846.0</v>
      </c>
      <c r="P16" s="31">
        <f t="shared" si="7"/>
        <v>47.62268111</v>
      </c>
      <c r="Q16" s="26">
        <v>3564560.0</v>
      </c>
      <c r="R16" s="31">
        <f t="shared" si="8"/>
        <v>54.11611031</v>
      </c>
      <c r="S16" s="26">
        <v>2833.0</v>
      </c>
      <c r="T16" s="31">
        <f t="shared" si="9"/>
        <v>0.04300977975</v>
      </c>
    </row>
    <row r="17">
      <c r="A17" s="25" t="s">
        <v>54</v>
      </c>
      <c r="B17" s="26">
        <v>6668940.0</v>
      </c>
      <c r="C17" s="26">
        <v>3133965.0</v>
      </c>
      <c r="D17" s="31">
        <f t="shared" si="1"/>
        <v>46.99345023</v>
      </c>
      <c r="E17" s="26">
        <v>1380975.0</v>
      </c>
      <c r="F17" s="31">
        <f t="shared" si="2"/>
        <v>20.70756372</v>
      </c>
      <c r="G17" s="26">
        <v>616502.0</v>
      </c>
      <c r="H17" s="31">
        <f t="shared" si="3"/>
        <v>9.244377667</v>
      </c>
      <c r="I17" s="26">
        <v>4205434.0</v>
      </c>
      <c r="J17" s="31">
        <f t="shared" si="4"/>
        <v>63.06000654</v>
      </c>
      <c r="K17" s="26">
        <v>146515.0</v>
      </c>
      <c r="L17" s="31">
        <f t="shared" si="5"/>
        <v>2.196975831</v>
      </c>
      <c r="M17" s="26">
        <v>4476259.0</v>
      </c>
      <c r="N17" s="31">
        <f t="shared" si="6"/>
        <v>67.12099674</v>
      </c>
      <c r="O17" s="26">
        <v>3218452.0</v>
      </c>
      <c r="P17" s="31">
        <f t="shared" si="7"/>
        <v>48.26032323</v>
      </c>
      <c r="Q17" s="26">
        <v>4516854.0</v>
      </c>
      <c r="R17" s="31">
        <f t="shared" si="8"/>
        <v>67.72971417</v>
      </c>
      <c r="S17" s="26">
        <v>27645.0</v>
      </c>
      <c r="T17" s="31">
        <f t="shared" si="9"/>
        <v>0.414533644</v>
      </c>
    </row>
    <row r="18">
      <c r="A18" s="25" t="s">
        <v>56</v>
      </c>
      <c r="B18" s="26">
        <v>3864215.0</v>
      </c>
      <c r="C18" s="26">
        <v>2303966.0</v>
      </c>
      <c r="D18" s="31">
        <f t="shared" si="1"/>
        <v>59.62313174</v>
      </c>
      <c r="E18" s="26">
        <v>480365.0</v>
      </c>
      <c r="F18" s="31">
        <f t="shared" si="2"/>
        <v>12.43111473</v>
      </c>
      <c r="G18" s="26">
        <v>297016.0</v>
      </c>
      <c r="H18" s="31">
        <f t="shared" si="3"/>
        <v>7.686321801</v>
      </c>
      <c r="I18" s="26">
        <v>2336762.0</v>
      </c>
      <c r="J18" s="31">
        <f t="shared" si="4"/>
        <v>60.47184228</v>
      </c>
      <c r="K18" s="26">
        <v>82067.0</v>
      </c>
      <c r="L18" s="31">
        <f t="shared" si="5"/>
        <v>2.123768993</v>
      </c>
      <c r="M18" s="26">
        <v>2273680.0</v>
      </c>
      <c r="N18" s="31">
        <f t="shared" si="6"/>
        <v>58.83937617</v>
      </c>
      <c r="O18" s="26">
        <v>2746313.0</v>
      </c>
      <c r="P18" s="31">
        <f t="shared" si="7"/>
        <v>71.07039852</v>
      </c>
      <c r="Q18" s="26">
        <v>2158841.0</v>
      </c>
      <c r="R18" s="31">
        <f t="shared" si="8"/>
        <v>55.86751772</v>
      </c>
      <c r="S18" s="26">
        <v>14618.0</v>
      </c>
      <c r="T18" s="31">
        <f t="shared" si="9"/>
        <v>0.3782915806</v>
      </c>
    </row>
    <row r="19">
      <c r="A19" s="25" t="s">
        <v>57</v>
      </c>
      <c r="B19" s="26">
        <v>3062611.0</v>
      </c>
      <c r="C19" s="26">
        <v>1704534.0</v>
      </c>
      <c r="D19" s="31">
        <f t="shared" si="1"/>
        <v>55.65623581</v>
      </c>
      <c r="E19" s="26">
        <v>683745.0</v>
      </c>
      <c r="F19" s="31">
        <f t="shared" si="2"/>
        <v>22.32555816</v>
      </c>
      <c r="G19" s="26">
        <v>122397.0</v>
      </c>
      <c r="H19" s="31">
        <f t="shared" si="3"/>
        <v>3.996491882</v>
      </c>
      <c r="I19" s="26">
        <v>1419377.0</v>
      </c>
      <c r="J19" s="31">
        <f t="shared" si="4"/>
        <v>46.3453243</v>
      </c>
      <c r="K19" s="26">
        <v>128145.0</v>
      </c>
      <c r="L19" s="31">
        <f t="shared" si="5"/>
        <v>4.184174876</v>
      </c>
      <c r="M19" s="26">
        <v>1881471.0</v>
      </c>
      <c r="N19" s="31">
        <f t="shared" si="6"/>
        <v>61.4335611</v>
      </c>
      <c r="O19" s="26">
        <v>1198637.0</v>
      </c>
      <c r="P19" s="31">
        <f t="shared" si="7"/>
        <v>39.1377488</v>
      </c>
      <c r="Q19" s="26">
        <v>1150977.0</v>
      </c>
      <c r="R19" s="31">
        <f t="shared" si="8"/>
        <v>37.58156031</v>
      </c>
      <c r="S19" s="26">
        <v>1516.0</v>
      </c>
      <c r="T19" s="31">
        <f t="shared" si="9"/>
        <v>0.04950024668</v>
      </c>
    </row>
    <row r="20">
      <c r="A20" s="25" t="s">
        <v>59</v>
      </c>
      <c r="B20" s="26">
        <v>4175626.0</v>
      </c>
      <c r="C20" s="26">
        <v>1883537.0</v>
      </c>
      <c r="D20" s="31">
        <f t="shared" si="1"/>
        <v>45.1078952</v>
      </c>
      <c r="E20" s="26">
        <v>858402.0</v>
      </c>
      <c r="F20" s="31">
        <f t="shared" si="2"/>
        <v>20.55744456</v>
      </c>
      <c r="G20" s="26">
        <v>267888.0</v>
      </c>
      <c r="H20" s="31">
        <f t="shared" si="3"/>
        <v>6.415517099</v>
      </c>
      <c r="I20" s="26">
        <v>2394474.0</v>
      </c>
      <c r="J20" s="31">
        <f t="shared" si="4"/>
        <v>57.34407248</v>
      </c>
      <c r="K20" s="26">
        <v>34473.0</v>
      </c>
      <c r="L20" s="31">
        <f t="shared" si="5"/>
        <v>0.8255768117</v>
      </c>
      <c r="M20" s="26">
        <v>2799534.0</v>
      </c>
      <c r="N20" s="31">
        <f t="shared" si="6"/>
        <v>67.0446539</v>
      </c>
      <c r="O20" s="26">
        <v>2276530.0</v>
      </c>
      <c r="P20" s="31">
        <f t="shared" si="7"/>
        <v>54.51949001</v>
      </c>
      <c r="Q20" s="26">
        <v>2594225.0</v>
      </c>
      <c r="R20" s="31">
        <f t="shared" si="8"/>
        <v>62.1278103</v>
      </c>
      <c r="S20" s="26">
        <v>3309.0</v>
      </c>
      <c r="T20" s="31">
        <f t="shared" si="9"/>
        <v>0.07924560293</v>
      </c>
    </row>
    <row r="21" ht="15.75" customHeight="1">
      <c r="A21" s="25" t="s">
        <v>60</v>
      </c>
      <c r="B21" s="26">
        <v>4443602.0</v>
      </c>
      <c r="C21" s="26">
        <v>1804423.0</v>
      </c>
      <c r="D21" s="31">
        <f t="shared" si="1"/>
        <v>40.6072146</v>
      </c>
      <c r="E21" s="26">
        <v>851395.0</v>
      </c>
      <c r="F21" s="31">
        <f t="shared" si="2"/>
        <v>19.16001928</v>
      </c>
      <c r="G21" s="26">
        <v>446608.0</v>
      </c>
      <c r="H21" s="31">
        <f t="shared" si="3"/>
        <v>10.05058509</v>
      </c>
      <c r="I21" s="26">
        <v>2657076.0</v>
      </c>
      <c r="J21" s="31">
        <f t="shared" si="4"/>
        <v>59.79554425</v>
      </c>
      <c r="K21" s="26">
        <v>83352.0</v>
      </c>
      <c r="L21" s="31">
        <f t="shared" si="5"/>
        <v>1.875775553</v>
      </c>
      <c r="M21" s="26">
        <v>2680625.0</v>
      </c>
      <c r="N21" s="31">
        <f t="shared" si="6"/>
        <v>60.3254972</v>
      </c>
      <c r="O21" s="26">
        <v>2201971.0</v>
      </c>
      <c r="P21" s="31">
        <f t="shared" si="7"/>
        <v>49.55374041</v>
      </c>
      <c r="Q21" s="26">
        <v>2204645.0</v>
      </c>
      <c r="R21" s="31">
        <f t="shared" si="8"/>
        <v>49.61391682</v>
      </c>
      <c r="S21" s="26">
        <v>23214.0</v>
      </c>
      <c r="T21" s="31">
        <f t="shared" si="9"/>
        <v>0.5224140236</v>
      </c>
    </row>
    <row r="22" ht="15.75" customHeight="1">
      <c r="A22" s="25" t="s">
        <v>63</v>
      </c>
      <c r="B22" s="26">
        <v>3636167.0</v>
      </c>
      <c r="C22" s="26">
        <v>1699207.0</v>
      </c>
      <c r="D22" s="31">
        <f t="shared" si="1"/>
        <v>46.73071946</v>
      </c>
      <c r="E22" s="26">
        <v>950177.0</v>
      </c>
      <c r="F22" s="31">
        <f t="shared" si="2"/>
        <v>26.13128055</v>
      </c>
      <c r="G22" s="26">
        <v>187519.0</v>
      </c>
      <c r="H22" s="31">
        <f t="shared" si="3"/>
        <v>5.157051368</v>
      </c>
      <c r="I22" s="26">
        <v>2051425.0</v>
      </c>
      <c r="J22" s="31">
        <f t="shared" si="4"/>
        <v>56.41723826</v>
      </c>
      <c r="K22" s="26">
        <v>36497.0</v>
      </c>
      <c r="L22" s="31">
        <f t="shared" si="5"/>
        <v>1.003721776</v>
      </c>
      <c r="M22" s="26">
        <v>1976872.0</v>
      </c>
      <c r="N22" s="31">
        <f t="shared" si="6"/>
        <v>54.36691989</v>
      </c>
      <c r="O22" s="26">
        <v>1328857.0</v>
      </c>
      <c r="P22" s="31">
        <f t="shared" si="7"/>
        <v>36.5455437</v>
      </c>
      <c r="Q22" s="26">
        <v>1750886.0</v>
      </c>
      <c r="R22" s="31">
        <f t="shared" si="8"/>
        <v>48.15196882</v>
      </c>
      <c r="S22" s="26">
        <v>41034.0</v>
      </c>
      <c r="T22" s="31">
        <f t="shared" si="9"/>
        <v>1.128496023</v>
      </c>
    </row>
    <row r="23" ht="15.75" customHeight="1">
      <c r="A23" s="25" t="s">
        <v>64</v>
      </c>
      <c r="B23" s="26">
        <v>2220907.0</v>
      </c>
      <c r="C23" s="26">
        <v>1295168.0</v>
      </c>
      <c r="D23" s="31">
        <f t="shared" si="1"/>
        <v>58.31707496</v>
      </c>
      <c r="E23" s="26">
        <v>598523.0</v>
      </c>
      <c r="F23" s="31">
        <f t="shared" si="2"/>
        <v>26.94948505</v>
      </c>
      <c r="G23" s="26">
        <v>205797.0</v>
      </c>
      <c r="H23" s="31">
        <f t="shared" si="3"/>
        <v>9.266349289</v>
      </c>
      <c r="I23" s="26">
        <v>1296321.0</v>
      </c>
      <c r="J23" s="31">
        <f t="shared" si="4"/>
        <v>58.36899069</v>
      </c>
      <c r="K23" s="26">
        <v>61292.0</v>
      </c>
      <c r="L23" s="31">
        <f t="shared" si="5"/>
        <v>2.759773372</v>
      </c>
      <c r="M23" s="26">
        <v>1501830.0</v>
      </c>
      <c r="N23" s="31">
        <f t="shared" si="6"/>
        <v>67.6223723</v>
      </c>
      <c r="O23" s="26">
        <v>1490665.0</v>
      </c>
      <c r="P23" s="31">
        <f t="shared" si="7"/>
        <v>67.11964976</v>
      </c>
      <c r="Q23" s="26">
        <v>1548063.0</v>
      </c>
      <c r="R23" s="31">
        <f t="shared" si="8"/>
        <v>69.70408937</v>
      </c>
      <c r="S23" s="26">
        <v>950.0</v>
      </c>
      <c r="T23" s="31">
        <f t="shared" si="9"/>
        <v>0.04277531657</v>
      </c>
    </row>
    <row r="24" ht="15.75" customHeight="1">
      <c r="A24" s="25" t="s">
        <v>65</v>
      </c>
      <c r="B24" s="26">
        <v>3746618.0</v>
      </c>
      <c r="C24" s="26">
        <v>1158159.0</v>
      </c>
      <c r="D24" s="31">
        <f t="shared" si="1"/>
        <v>30.91211861</v>
      </c>
      <c r="E24" s="26">
        <v>447354.0</v>
      </c>
      <c r="F24" s="31">
        <f t="shared" si="2"/>
        <v>11.94020848</v>
      </c>
      <c r="G24" s="26">
        <v>283962.0</v>
      </c>
      <c r="H24" s="31">
        <f t="shared" si="3"/>
        <v>7.579155388</v>
      </c>
      <c r="I24" s="26">
        <v>1444729.0</v>
      </c>
      <c r="J24" s="31">
        <f t="shared" si="4"/>
        <v>38.56088344</v>
      </c>
      <c r="K24" s="26">
        <v>94492.0</v>
      </c>
      <c r="L24" s="31">
        <f t="shared" si="5"/>
        <v>2.52206123</v>
      </c>
      <c r="M24" s="26">
        <v>2929317.0</v>
      </c>
      <c r="N24" s="31">
        <f t="shared" si="6"/>
        <v>78.18563302</v>
      </c>
      <c r="O24" s="26">
        <v>2187575.0</v>
      </c>
      <c r="P24" s="31">
        <f t="shared" si="7"/>
        <v>58.38799152</v>
      </c>
      <c r="Q24" s="26">
        <v>1333953.0</v>
      </c>
      <c r="R24" s="31">
        <f t="shared" si="8"/>
        <v>35.60419023</v>
      </c>
      <c r="S24" s="26">
        <v>843.0</v>
      </c>
      <c r="T24" s="31">
        <f t="shared" si="9"/>
        <v>0.02250029226</v>
      </c>
    </row>
    <row r="25" ht="15.75" customHeight="1">
      <c r="A25" s="28"/>
      <c r="B25" s="28"/>
      <c r="C25" s="28"/>
      <c r="D25" s="28"/>
      <c r="E25" s="28"/>
      <c r="F25" s="28"/>
      <c r="G25" s="28"/>
      <c r="H25" s="28"/>
      <c r="I25" s="28"/>
      <c r="J25" s="28"/>
      <c r="K25" s="28"/>
      <c r="L25" s="28"/>
      <c r="M25" s="28"/>
      <c r="N25" s="28"/>
      <c r="O25" s="28"/>
      <c r="P25" s="28"/>
      <c r="Q25" s="28"/>
      <c r="R25" s="28"/>
      <c r="S25" s="28"/>
      <c r="T25" s="28"/>
    </row>
    <row r="26" ht="15.75" customHeight="1">
      <c r="A26" s="9"/>
      <c r="B26" s="9"/>
      <c r="C26" s="9"/>
      <c r="D26" s="9"/>
      <c r="E26" s="9"/>
      <c r="F26" s="9"/>
      <c r="G26" s="9"/>
      <c r="H26" s="9"/>
      <c r="I26" s="9"/>
      <c r="J26" s="9"/>
      <c r="K26" s="9"/>
      <c r="L26" s="9"/>
      <c r="M26" s="9"/>
      <c r="N26" s="9"/>
      <c r="O26" s="9"/>
      <c r="P26" s="9"/>
      <c r="Q26" s="9"/>
      <c r="R26" s="9"/>
      <c r="S26" s="9"/>
      <c r="T26" s="9"/>
    </row>
    <row r="27" ht="15.75" customHeight="1">
      <c r="A27" s="29" t="s">
        <v>69</v>
      </c>
      <c r="B27" s="29"/>
      <c r="C27" s="29"/>
      <c r="D27" s="29"/>
      <c r="E27" s="29"/>
      <c r="F27" s="29"/>
      <c r="G27" s="29"/>
      <c r="H27" s="29"/>
      <c r="I27" s="29"/>
      <c r="J27" s="29"/>
      <c r="K27" s="29"/>
      <c r="L27" s="29"/>
      <c r="M27" s="29"/>
      <c r="N27" s="29"/>
      <c r="O27" s="29"/>
      <c r="P27" s="29"/>
      <c r="Q27" s="29"/>
      <c r="R27" s="29"/>
      <c r="S27" s="29"/>
      <c r="T27" s="29"/>
    </row>
    <row r="28" ht="15.75" customHeight="1">
      <c r="A28" s="29" t="s">
        <v>72</v>
      </c>
      <c r="B28" s="29"/>
      <c r="C28" s="29"/>
      <c r="D28" s="29"/>
      <c r="E28" s="29"/>
      <c r="F28" s="29"/>
      <c r="G28" s="29"/>
      <c r="H28" s="29"/>
      <c r="I28" s="29"/>
      <c r="J28" s="29"/>
      <c r="K28" s="29"/>
      <c r="L28" s="29"/>
      <c r="M28" s="29"/>
      <c r="N28" s="29"/>
      <c r="O28" s="29"/>
      <c r="P28" s="29"/>
      <c r="Q28" s="29"/>
      <c r="R28" s="29"/>
      <c r="S28" s="29"/>
      <c r="T28" s="29"/>
    </row>
    <row r="29" ht="15.75" customHeight="1">
      <c r="A29" s="29" t="s">
        <v>532</v>
      </c>
      <c r="B29" s="29"/>
      <c r="C29" s="29"/>
      <c r="D29" s="29"/>
      <c r="E29" s="29"/>
      <c r="F29" s="29"/>
      <c r="G29" s="29"/>
      <c r="H29" s="29"/>
      <c r="I29" s="29"/>
      <c r="J29" s="29"/>
      <c r="K29" s="29"/>
      <c r="L29" s="29"/>
      <c r="M29" s="29"/>
      <c r="N29" s="29"/>
      <c r="O29" s="29"/>
      <c r="P29" s="29"/>
      <c r="Q29" s="29"/>
      <c r="R29" s="29"/>
      <c r="S29" s="29"/>
      <c r="T29" s="29"/>
    </row>
    <row r="30" ht="15.75" customHeight="1">
      <c r="A30" s="32" t="s">
        <v>76</v>
      </c>
    </row>
    <row r="31" ht="15.75" customHeight="1">
      <c r="A31" s="32"/>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
    <mergeCell ref="M4:N4"/>
    <mergeCell ref="O4:P4"/>
    <mergeCell ref="Q4:R4"/>
    <mergeCell ref="S4:T4"/>
    <mergeCell ref="A30:Q30"/>
    <mergeCell ref="A31:Q31"/>
    <mergeCell ref="A4:A5"/>
    <mergeCell ref="B4:B5"/>
    <mergeCell ref="C4:D4"/>
    <mergeCell ref="E4:F4"/>
    <mergeCell ref="G4:H4"/>
    <mergeCell ref="I4:J4"/>
    <mergeCell ref="K4:L4"/>
  </mergeCells>
  <hyperlinks>
    <hyperlink display="BACK TO LIST" location="LIST!A1" ref="A1"/>
  </hyperlinks>
  <printOptions/>
  <pageMargins bottom="0.75" footer="0.0" header="0.0" left="0.7" right="0.7" top="0.75"/>
  <pageSetup paperSize="9" scale="63" orientation="portrait"/>
  <drawing r:id="rId1"/>
</worksheet>
</file>

<file path=xl/worksheets/sheet5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9"/>
    <pageSetUpPr/>
  </sheetPr>
  <sheetViews>
    <sheetView workbookViewId="0"/>
  </sheetViews>
  <sheetFormatPr customHeight="1" defaultColWidth="12.63" defaultRowHeight="15.0"/>
  <cols>
    <col customWidth="1" min="1" max="1" width="39.0"/>
    <col customWidth="1" min="2" max="20" width="14.0"/>
    <col customWidth="1" min="21" max="26" width="8.63"/>
  </cols>
  <sheetData>
    <row r="1">
      <c r="A1" s="5" t="s">
        <v>1</v>
      </c>
    </row>
    <row r="2" ht="15.0" customHeight="1">
      <c r="A2" s="33" t="s">
        <v>528</v>
      </c>
      <c r="B2" s="7"/>
      <c r="C2" s="7"/>
      <c r="D2" s="7"/>
      <c r="E2" s="53"/>
      <c r="F2" s="53"/>
      <c r="G2" s="53"/>
      <c r="H2" s="53"/>
      <c r="K2" s="53"/>
      <c r="L2" s="53"/>
      <c r="M2" s="53"/>
      <c r="N2" s="53"/>
      <c r="Q2" s="53"/>
      <c r="R2" s="53"/>
      <c r="S2" s="53"/>
      <c r="T2" s="53"/>
    </row>
    <row r="3">
      <c r="A3" s="8"/>
      <c r="B3" s="9"/>
      <c r="C3" s="9"/>
      <c r="D3" s="9"/>
      <c r="E3" s="9"/>
      <c r="F3" s="9"/>
      <c r="G3" s="9"/>
      <c r="H3" s="9"/>
      <c r="I3" s="9"/>
      <c r="J3" s="9"/>
      <c r="K3" s="9"/>
      <c r="L3" s="9"/>
      <c r="M3" s="9"/>
      <c r="N3" s="9"/>
      <c r="O3" s="9"/>
      <c r="P3" s="9"/>
      <c r="Q3" s="9"/>
      <c r="R3" s="9"/>
      <c r="S3" s="9"/>
      <c r="T3" s="9"/>
    </row>
    <row r="4" ht="15.0" customHeight="1">
      <c r="A4" s="10" t="s">
        <v>13</v>
      </c>
      <c r="B4" s="21" t="s">
        <v>143</v>
      </c>
      <c r="C4" s="13" t="s">
        <v>85</v>
      </c>
      <c r="D4" s="15"/>
      <c r="E4" s="13" t="s">
        <v>512</v>
      </c>
      <c r="F4" s="15"/>
      <c r="G4" s="13" t="s">
        <v>529</v>
      </c>
      <c r="H4" s="15"/>
      <c r="I4" s="13" t="s">
        <v>196</v>
      </c>
      <c r="J4" s="15"/>
      <c r="K4" s="13" t="s">
        <v>198</v>
      </c>
      <c r="L4" s="15"/>
      <c r="M4" s="13" t="s">
        <v>197</v>
      </c>
      <c r="N4" s="15"/>
      <c r="O4" s="13" t="s">
        <v>525</v>
      </c>
      <c r="P4" s="15"/>
      <c r="Q4" s="13" t="s">
        <v>526</v>
      </c>
      <c r="R4" s="15"/>
      <c r="S4" s="13" t="s">
        <v>170</v>
      </c>
      <c r="T4" s="15"/>
    </row>
    <row r="5">
      <c r="A5" s="18"/>
      <c r="B5" s="18"/>
      <c r="C5" s="24" t="s">
        <v>37</v>
      </c>
      <c r="D5" s="24" t="s">
        <v>39</v>
      </c>
      <c r="E5" s="24" t="s">
        <v>37</v>
      </c>
      <c r="F5" s="24" t="s">
        <v>39</v>
      </c>
      <c r="G5" s="24" t="s">
        <v>37</v>
      </c>
      <c r="H5" s="24" t="s">
        <v>39</v>
      </c>
      <c r="I5" s="24" t="s">
        <v>37</v>
      </c>
      <c r="J5" s="24" t="s">
        <v>39</v>
      </c>
      <c r="K5" s="24" t="s">
        <v>37</v>
      </c>
      <c r="L5" s="24" t="s">
        <v>39</v>
      </c>
      <c r="M5" s="24" t="s">
        <v>37</v>
      </c>
      <c r="N5" s="24" t="s">
        <v>39</v>
      </c>
      <c r="O5" s="24" t="s">
        <v>37</v>
      </c>
      <c r="P5" s="24" t="s">
        <v>39</v>
      </c>
      <c r="Q5" s="24" t="s">
        <v>37</v>
      </c>
      <c r="R5" s="24" t="s">
        <v>39</v>
      </c>
      <c r="S5" s="24" t="s">
        <v>37</v>
      </c>
      <c r="T5" s="24" t="s">
        <v>39</v>
      </c>
    </row>
    <row r="6">
      <c r="A6" s="16"/>
      <c r="B6" s="20"/>
      <c r="C6" s="20"/>
      <c r="D6" s="20"/>
      <c r="E6" s="20"/>
      <c r="F6" s="20"/>
      <c r="G6" s="20"/>
      <c r="H6" s="20"/>
      <c r="I6" s="20"/>
      <c r="J6" s="20"/>
      <c r="K6" s="20"/>
      <c r="L6" s="20"/>
      <c r="M6" s="20"/>
      <c r="N6" s="20"/>
      <c r="O6" s="20"/>
      <c r="P6" s="20"/>
      <c r="Q6" s="20"/>
      <c r="R6" s="20"/>
      <c r="S6" s="20"/>
      <c r="T6" s="20"/>
    </row>
    <row r="7">
      <c r="A7" s="22" t="s">
        <v>33</v>
      </c>
      <c r="B7" s="23">
        <v>9.1383228E7</v>
      </c>
      <c r="C7" s="23">
        <v>2.306299E7</v>
      </c>
      <c r="D7" s="27">
        <f t="shared" ref="D7:D24" si="1">(C7/$B7)*100</f>
        <v>25.23766177</v>
      </c>
      <c r="E7" s="23">
        <v>3915479.0</v>
      </c>
      <c r="F7" s="27">
        <f t="shared" ref="F7:F24" si="2">(E7/$B7)*100</f>
        <v>4.284680117</v>
      </c>
      <c r="G7" s="23">
        <v>4.4663198E7</v>
      </c>
      <c r="H7" s="27">
        <f t="shared" ref="H7:H24" si="3">(G7/$B7)*100</f>
        <v>48.87461187</v>
      </c>
      <c r="I7" s="23">
        <v>75683.0</v>
      </c>
      <c r="J7" s="27">
        <f t="shared" ref="J7:J24" si="4">(I7/$B7)*100</f>
        <v>0.08281935499</v>
      </c>
      <c r="K7" s="23">
        <v>19118.0</v>
      </c>
      <c r="L7" s="44">
        <f t="shared" ref="L7:L24" si="5">(K7/$B7)*100</f>
        <v>0.02092068798</v>
      </c>
      <c r="M7" s="23">
        <v>44405.0</v>
      </c>
      <c r="N7" s="44">
        <f t="shared" ref="N7:N24" si="6">(M7/$B7)*100</f>
        <v>0.04859206768</v>
      </c>
      <c r="O7" s="23">
        <v>1.1959882E7</v>
      </c>
      <c r="P7" s="27">
        <f t="shared" ref="P7:P24" si="7">(O7/$B7)*100</f>
        <v>13.08761166</v>
      </c>
      <c r="Q7" s="23">
        <v>7493600.0</v>
      </c>
      <c r="R7" s="27">
        <f t="shared" ref="R7:R24" si="8">(Q7/$B7)*100</f>
        <v>8.200191834</v>
      </c>
      <c r="S7" s="23">
        <v>148873.0</v>
      </c>
      <c r="T7" s="27">
        <f t="shared" ref="T7:T24" si="9">(S7/$B7)*100</f>
        <v>0.1629106383</v>
      </c>
    </row>
    <row r="8">
      <c r="A8" s="25" t="s">
        <v>38</v>
      </c>
      <c r="B8" s="26">
        <v>1.1919468E7</v>
      </c>
      <c r="C8" s="26">
        <v>3056204.0</v>
      </c>
      <c r="D8" s="31">
        <f t="shared" si="1"/>
        <v>25.64043966</v>
      </c>
      <c r="E8" s="26">
        <v>96065.0</v>
      </c>
      <c r="F8" s="31">
        <f t="shared" si="2"/>
        <v>0.8059503998</v>
      </c>
      <c r="G8" s="26">
        <v>7829487.0</v>
      </c>
      <c r="H8" s="31">
        <f t="shared" si="3"/>
        <v>65.68654742</v>
      </c>
      <c r="I8" s="26">
        <v>11607.0</v>
      </c>
      <c r="J8" s="31">
        <f t="shared" si="4"/>
        <v>0.09737850716</v>
      </c>
      <c r="K8" s="26">
        <v>0.0</v>
      </c>
      <c r="L8" s="31">
        <f t="shared" si="5"/>
        <v>0</v>
      </c>
      <c r="M8" s="26">
        <v>10076.0</v>
      </c>
      <c r="N8" s="31">
        <f t="shared" si="6"/>
        <v>0.08453397417</v>
      </c>
      <c r="O8" s="26">
        <v>666434.0</v>
      </c>
      <c r="P8" s="31">
        <f t="shared" si="7"/>
        <v>5.591138799</v>
      </c>
      <c r="Q8" s="26">
        <v>235990.0</v>
      </c>
      <c r="R8" s="31">
        <f t="shared" si="8"/>
        <v>1.979870243</v>
      </c>
      <c r="S8" s="26">
        <v>13605.0</v>
      </c>
      <c r="T8" s="31">
        <f t="shared" si="9"/>
        <v>0.1141410003</v>
      </c>
    </row>
    <row r="9">
      <c r="A9" s="25" t="s">
        <v>41</v>
      </c>
      <c r="B9" s="26">
        <v>1496049.0</v>
      </c>
      <c r="C9" s="26">
        <v>286604.0</v>
      </c>
      <c r="D9" s="31">
        <f t="shared" si="1"/>
        <v>19.15739391</v>
      </c>
      <c r="E9" s="26">
        <v>101431.0</v>
      </c>
      <c r="F9" s="31">
        <f t="shared" si="2"/>
        <v>6.779924989</v>
      </c>
      <c r="G9" s="26">
        <v>778984.0</v>
      </c>
      <c r="H9" s="31">
        <f t="shared" si="3"/>
        <v>52.06941751</v>
      </c>
      <c r="I9" s="26">
        <v>919.0</v>
      </c>
      <c r="J9" s="31">
        <f t="shared" si="4"/>
        <v>0.06142846925</v>
      </c>
      <c r="K9" s="26">
        <v>898.0</v>
      </c>
      <c r="L9" s="31">
        <f t="shared" si="5"/>
        <v>0.06002477192</v>
      </c>
      <c r="M9" s="26">
        <v>294.0</v>
      </c>
      <c r="N9" s="31">
        <f t="shared" si="6"/>
        <v>0.01965176274</v>
      </c>
      <c r="O9" s="26">
        <v>237294.0</v>
      </c>
      <c r="P9" s="31">
        <f t="shared" si="7"/>
        <v>15.86137887</v>
      </c>
      <c r="Q9" s="26">
        <v>89624.0</v>
      </c>
      <c r="R9" s="31">
        <f t="shared" si="8"/>
        <v>5.990712871</v>
      </c>
      <c r="S9" s="26">
        <v>0.0</v>
      </c>
      <c r="T9" s="31">
        <f t="shared" si="9"/>
        <v>0</v>
      </c>
    </row>
    <row r="10">
      <c r="A10" s="25" t="s">
        <v>43</v>
      </c>
      <c r="B10" s="26">
        <v>4389510.0</v>
      </c>
      <c r="C10" s="26">
        <v>1055643.0</v>
      </c>
      <c r="D10" s="31">
        <f t="shared" si="1"/>
        <v>24.04922189</v>
      </c>
      <c r="E10" s="26">
        <v>270203.0</v>
      </c>
      <c r="F10" s="31">
        <f t="shared" si="2"/>
        <v>6.155652909</v>
      </c>
      <c r="G10" s="26">
        <v>2192286.0</v>
      </c>
      <c r="H10" s="31">
        <f t="shared" si="3"/>
        <v>49.94375226</v>
      </c>
      <c r="I10" s="26">
        <v>2000.0</v>
      </c>
      <c r="J10" s="31">
        <f t="shared" si="4"/>
        <v>0.0455631722</v>
      </c>
      <c r="K10" s="26">
        <v>0.0</v>
      </c>
      <c r="L10" s="31">
        <f t="shared" si="5"/>
        <v>0</v>
      </c>
      <c r="M10" s="26">
        <v>0.0</v>
      </c>
      <c r="N10" s="31">
        <f t="shared" si="6"/>
        <v>0</v>
      </c>
      <c r="O10" s="26">
        <v>743238.0</v>
      </c>
      <c r="P10" s="31">
        <f t="shared" si="7"/>
        <v>16.93214049</v>
      </c>
      <c r="Q10" s="26">
        <v>126140.0</v>
      </c>
      <c r="R10" s="31">
        <f t="shared" si="8"/>
        <v>2.873669271</v>
      </c>
      <c r="S10" s="26">
        <v>0.0</v>
      </c>
      <c r="T10" s="31">
        <f t="shared" si="9"/>
        <v>0</v>
      </c>
    </row>
    <row r="11">
      <c r="A11" s="25" t="s">
        <v>44</v>
      </c>
      <c r="B11" s="26">
        <v>3055894.0</v>
      </c>
      <c r="C11" s="26">
        <v>686902.0</v>
      </c>
      <c r="D11" s="31">
        <f t="shared" si="1"/>
        <v>22.47793935</v>
      </c>
      <c r="E11" s="26">
        <v>220693.0</v>
      </c>
      <c r="F11" s="31">
        <f t="shared" si="2"/>
        <v>7.221880078</v>
      </c>
      <c r="G11" s="26">
        <v>1472235.0</v>
      </c>
      <c r="H11" s="31">
        <f t="shared" si="3"/>
        <v>48.17690011</v>
      </c>
      <c r="I11" s="26">
        <v>0.0</v>
      </c>
      <c r="J11" s="31">
        <f t="shared" si="4"/>
        <v>0</v>
      </c>
      <c r="K11" s="26">
        <v>0.0</v>
      </c>
      <c r="L11" s="31">
        <f t="shared" si="5"/>
        <v>0</v>
      </c>
      <c r="M11" s="26">
        <v>5898.0</v>
      </c>
      <c r="N11" s="31">
        <f t="shared" si="6"/>
        <v>0.1930040767</v>
      </c>
      <c r="O11" s="26">
        <v>425824.0</v>
      </c>
      <c r="P11" s="31">
        <f t="shared" si="7"/>
        <v>13.93451474</v>
      </c>
      <c r="Q11" s="26">
        <v>236068.0</v>
      </c>
      <c r="R11" s="31">
        <f t="shared" si="8"/>
        <v>7.725006168</v>
      </c>
      <c r="S11" s="26">
        <v>8274.0</v>
      </c>
      <c r="T11" s="31">
        <f t="shared" si="9"/>
        <v>0.2707554647</v>
      </c>
    </row>
    <row r="12">
      <c r="A12" s="25" t="s">
        <v>46</v>
      </c>
      <c r="B12" s="26">
        <v>1.070829E7</v>
      </c>
      <c r="C12" s="26">
        <v>2635921.0</v>
      </c>
      <c r="D12" s="31">
        <f t="shared" si="1"/>
        <v>24.61570428</v>
      </c>
      <c r="E12" s="26">
        <v>185931.0</v>
      </c>
      <c r="F12" s="31">
        <f t="shared" si="2"/>
        <v>1.736327649</v>
      </c>
      <c r="G12" s="26">
        <v>5919229.0</v>
      </c>
      <c r="H12" s="31">
        <f t="shared" si="3"/>
        <v>55.27707038</v>
      </c>
      <c r="I12" s="26">
        <v>6132.0</v>
      </c>
      <c r="J12" s="31">
        <f t="shared" si="4"/>
        <v>0.05726404496</v>
      </c>
      <c r="K12" s="26">
        <v>2525.0</v>
      </c>
      <c r="L12" s="31">
        <f t="shared" si="5"/>
        <v>0.02357986196</v>
      </c>
      <c r="M12" s="26">
        <v>3385.0</v>
      </c>
      <c r="N12" s="31">
        <f t="shared" si="6"/>
        <v>0.03161102286</v>
      </c>
      <c r="O12" s="26">
        <v>1282518.0</v>
      </c>
      <c r="P12" s="31">
        <f t="shared" si="7"/>
        <v>11.97687026</v>
      </c>
      <c r="Q12" s="26">
        <v>672648.0</v>
      </c>
      <c r="R12" s="31">
        <f t="shared" si="8"/>
        <v>6.281563163</v>
      </c>
      <c r="S12" s="26">
        <v>0.0</v>
      </c>
      <c r="T12" s="31">
        <f t="shared" si="9"/>
        <v>0</v>
      </c>
    </row>
    <row r="13">
      <c r="A13" s="25" t="s">
        <v>48</v>
      </c>
      <c r="B13" s="26">
        <v>1.3985526E7</v>
      </c>
      <c r="C13" s="26">
        <v>4331898.0</v>
      </c>
      <c r="D13" s="31">
        <f t="shared" si="1"/>
        <v>30.97415142</v>
      </c>
      <c r="E13" s="26">
        <v>224127.0</v>
      </c>
      <c r="F13" s="31">
        <f t="shared" si="2"/>
        <v>1.602563965</v>
      </c>
      <c r="G13" s="26">
        <v>7660006.0</v>
      </c>
      <c r="H13" s="31">
        <f t="shared" si="3"/>
        <v>54.77095391</v>
      </c>
      <c r="I13" s="26">
        <v>24016.0</v>
      </c>
      <c r="J13" s="31">
        <f t="shared" si="4"/>
        <v>0.1717203915</v>
      </c>
      <c r="K13" s="26">
        <v>0.0</v>
      </c>
      <c r="L13" s="31">
        <f t="shared" si="5"/>
        <v>0</v>
      </c>
      <c r="M13" s="26">
        <v>16737.0</v>
      </c>
      <c r="N13" s="31">
        <f t="shared" si="6"/>
        <v>0.1196737255</v>
      </c>
      <c r="O13" s="26">
        <v>987097.0</v>
      </c>
      <c r="P13" s="31">
        <f t="shared" si="7"/>
        <v>7.05798981</v>
      </c>
      <c r="Q13" s="26">
        <v>741646.0</v>
      </c>
      <c r="R13" s="31">
        <f t="shared" si="8"/>
        <v>5.302953925</v>
      </c>
      <c r="S13" s="26">
        <v>0.0</v>
      </c>
      <c r="T13" s="31">
        <f t="shared" si="9"/>
        <v>0</v>
      </c>
    </row>
    <row r="14">
      <c r="A14" s="25" t="s">
        <v>50</v>
      </c>
      <c r="B14" s="26">
        <v>2538126.0</v>
      </c>
      <c r="C14" s="26">
        <v>802276.0</v>
      </c>
      <c r="D14" s="31">
        <f t="shared" si="1"/>
        <v>31.60899026</v>
      </c>
      <c r="E14" s="26">
        <v>66469.0</v>
      </c>
      <c r="F14" s="31">
        <f t="shared" si="2"/>
        <v>2.618821918</v>
      </c>
      <c r="G14" s="26">
        <v>1078361.0</v>
      </c>
      <c r="H14" s="31">
        <f t="shared" si="3"/>
        <v>42.48650382</v>
      </c>
      <c r="I14" s="26">
        <v>673.0</v>
      </c>
      <c r="J14" s="31">
        <f t="shared" si="4"/>
        <v>0.0265156261</v>
      </c>
      <c r="K14" s="26">
        <v>0.0</v>
      </c>
      <c r="L14" s="31">
        <f t="shared" si="5"/>
        <v>0</v>
      </c>
      <c r="M14" s="26">
        <v>637.0</v>
      </c>
      <c r="N14" s="31">
        <f t="shared" si="6"/>
        <v>0.02509725679</v>
      </c>
      <c r="O14" s="26">
        <v>326184.0</v>
      </c>
      <c r="P14" s="31">
        <f t="shared" si="7"/>
        <v>12.85137144</v>
      </c>
      <c r="Q14" s="26">
        <v>258765.0</v>
      </c>
      <c r="R14" s="31">
        <f t="shared" si="8"/>
        <v>10.19512034</v>
      </c>
      <c r="S14" s="26">
        <v>4761.0</v>
      </c>
      <c r="T14" s="31">
        <f t="shared" si="9"/>
        <v>0.18757934</v>
      </c>
    </row>
    <row r="15">
      <c r="A15" s="25" t="s">
        <v>51</v>
      </c>
      <c r="B15" s="26">
        <v>4884805.0</v>
      </c>
      <c r="C15" s="26">
        <v>1381553.0</v>
      </c>
      <c r="D15" s="31">
        <f t="shared" si="1"/>
        <v>28.2826643</v>
      </c>
      <c r="E15" s="26">
        <v>364841.0</v>
      </c>
      <c r="F15" s="31">
        <f t="shared" si="2"/>
        <v>7.468895892</v>
      </c>
      <c r="G15" s="26">
        <v>1680806.0</v>
      </c>
      <c r="H15" s="31">
        <f t="shared" si="3"/>
        <v>34.40886586</v>
      </c>
      <c r="I15" s="26">
        <v>2948.0</v>
      </c>
      <c r="J15" s="31">
        <f t="shared" si="4"/>
        <v>0.06035041317</v>
      </c>
      <c r="K15" s="26">
        <v>2948.0</v>
      </c>
      <c r="L15" s="31">
        <f t="shared" si="5"/>
        <v>0.06035041317</v>
      </c>
      <c r="M15" s="26">
        <v>0.0</v>
      </c>
      <c r="N15" s="31">
        <f t="shared" si="6"/>
        <v>0</v>
      </c>
      <c r="O15" s="26">
        <v>460724.0</v>
      </c>
      <c r="P15" s="31">
        <f t="shared" si="7"/>
        <v>9.431778751</v>
      </c>
      <c r="Q15" s="26">
        <v>984123.0</v>
      </c>
      <c r="R15" s="31">
        <f t="shared" si="8"/>
        <v>20.14661793</v>
      </c>
      <c r="S15" s="26">
        <v>6863.0</v>
      </c>
      <c r="T15" s="31">
        <f t="shared" si="9"/>
        <v>0.1404969083</v>
      </c>
    </row>
    <row r="16">
      <c r="A16" s="25" t="s">
        <v>53</v>
      </c>
      <c r="B16" s="26">
        <v>6586874.0</v>
      </c>
      <c r="C16" s="26">
        <v>1722688.0</v>
      </c>
      <c r="D16" s="31">
        <f t="shared" si="1"/>
        <v>26.15334679</v>
      </c>
      <c r="E16" s="26">
        <v>666430.0</v>
      </c>
      <c r="F16" s="31">
        <f t="shared" si="2"/>
        <v>10.1175459</v>
      </c>
      <c r="G16" s="26">
        <v>3006019.0</v>
      </c>
      <c r="H16" s="31">
        <f t="shared" si="3"/>
        <v>45.63650375</v>
      </c>
      <c r="I16" s="26">
        <v>9759.0</v>
      </c>
      <c r="J16" s="31">
        <f t="shared" si="4"/>
        <v>0.1481582918</v>
      </c>
      <c r="K16" s="26">
        <v>3379.0</v>
      </c>
      <c r="L16" s="31">
        <f t="shared" si="5"/>
        <v>0.05129899251</v>
      </c>
      <c r="M16" s="26">
        <v>0.0</v>
      </c>
      <c r="N16" s="31">
        <f t="shared" si="6"/>
        <v>0</v>
      </c>
      <c r="O16" s="26">
        <v>791189.0</v>
      </c>
      <c r="P16" s="31">
        <f t="shared" si="7"/>
        <v>12.01160065</v>
      </c>
      <c r="Q16" s="26">
        <v>384062.0</v>
      </c>
      <c r="R16" s="31">
        <f t="shared" si="8"/>
        <v>5.830717272</v>
      </c>
      <c r="S16" s="26">
        <v>3348.0</v>
      </c>
      <c r="T16" s="31">
        <f t="shared" si="9"/>
        <v>0.05082835955</v>
      </c>
    </row>
    <row r="17">
      <c r="A17" s="25" t="s">
        <v>54</v>
      </c>
      <c r="B17" s="26">
        <v>6668940.0</v>
      </c>
      <c r="C17" s="26">
        <v>1473855.0</v>
      </c>
      <c r="D17" s="31">
        <f t="shared" si="1"/>
        <v>22.1002888</v>
      </c>
      <c r="E17" s="26">
        <v>368873.0</v>
      </c>
      <c r="F17" s="31">
        <f t="shared" si="2"/>
        <v>5.531208858</v>
      </c>
      <c r="G17" s="26">
        <v>3264666.0</v>
      </c>
      <c r="H17" s="31">
        <f t="shared" si="3"/>
        <v>48.95329693</v>
      </c>
      <c r="I17" s="26">
        <v>5030.0</v>
      </c>
      <c r="J17" s="31">
        <f t="shared" si="4"/>
        <v>0.07542428032</v>
      </c>
      <c r="K17" s="26">
        <v>0.0</v>
      </c>
      <c r="L17" s="31">
        <f t="shared" si="5"/>
        <v>0</v>
      </c>
      <c r="M17" s="26">
        <v>0.0</v>
      </c>
      <c r="N17" s="31">
        <f t="shared" si="6"/>
        <v>0</v>
      </c>
      <c r="O17" s="26">
        <v>1035485.0</v>
      </c>
      <c r="P17" s="31">
        <f t="shared" si="7"/>
        <v>15.5269803</v>
      </c>
      <c r="Q17" s="26">
        <v>480263.0</v>
      </c>
      <c r="R17" s="31">
        <f t="shared" si="8"/>
        <v>7.201489292</v>
      </c>
      <c r="S17" s="26">
        <v>40768.0</v>
      </c>
      <c r="T17" s="31">
        <f t="shared" si="9"/>
        <v>0.6113115428</v>
      </c>
    </row>
    <row r="18">
      <c r="A18" s="25" t="s">
        <v>56</v>
      </c>
      <c r="B18" s="26">
        <v>3864215.0</v>
      </c>
      <c r="C18" s="26">
        <v>1193786.0</v>
      </c>
      <c r="D18" s="31">
        <f t="shared" si="1"/>
        <v>30.89336385</v>
      </c>
      <c r="E18" s="26">
        <v>129615.0</v>
      </c>
      <c r="F18" s="31">
        <f t="shared" si="2"/>
        <v>3.35423883</v>
      </c>
      <c r="G18" s="26">
        <v>1610534.0</v>
      </c>
      <c r="H18" s="31">
        <f t="shared" si="3"/>
        <v>41.67816749</v>
      </c>
      <c r="I18" s="26">
        <v>3265.0</v>
      </c>
      <c r="J18" s="31">
        <f t="shared" si="4"/>
        <v>0.08449322825</v>
      </c>
      <c r="K18" s="26">
        <v>3447.0</v>
      </c>
      <c r="L18" s="31">
        <f t="shared" si="5"/>
        <v>0.08920311111</v>
      </c>
      <c r="M18" s="26">
        <v>4172.0</v>
      </c>
      <c r="N18" s="31">
        <f t="shared" si="6"/>
        <v>0.1079650071</v>
      </c>
      <c r="O18" s="26">
        <v>337689.0</v>
      </c>
      <c r="P18" s="31">
        <f t="shared" si="7"/>
        <v>8.738877107</v>
      </c>
      <c r="Q18" s="26">
        <v>569241.0</v>
      </c>
      <c r="R18" s="31">
        <f t="shared" si="8"/>
        <v>14.73109027</v>
      </c>
      <c r="S18" s="26">
        <v>12464.0</v>
      </c>
      <c r="T18" s="31">
        <f t="shared" si="9"/>
        <v>0.3225493406</v>
      </c>
    </row>
    <row r="19">
      <c r="A19" s="25" t="s">
        <v>57</v>
      </c>
      <c r="B19" s="26">
        <v>3062611.0</v>
      </c>
      <c r="C19" s="26">
        <v>1228028.0</v>
      </c>
      <c r="D19" s="31">
        <f t="shared" si="1"/>
        <v>40.09742014</v>
      </c>
      <c r="E19" s="26">
        <v>211926.0</v>
      </c>
      <c r="F19" s="31">
        <f t="shared" si="2"/>
        <v>6.919781846</v>
      </c>
      <c r="G19" s="26">
        <v>745355.0</v>
      </c>
      <c r="H19" s="31">
        <f t="shared" si="3"/>
        <v>24.33724035</v>
      </c>
      <c r="I19" s="26">
        <v>0.0</v>
      </c>
      <c r="J19" s="31">
        <f t="shared" si="4"/>
        <v>0</v>
      </c>
      <c r="K19" s="26">
        <v>2225.0</v>
      </c>
      <c r="L19" s="31">
        <f t="shared" si="5"/>
        <v>0.07265042802</v>
      </c>
      <c r="M19" s="26">
        <v>0.0</v>
      </c>
      <c r="N19" s="31">
        <f t="shared" si="6"/>
        <v>0</v>
      </c>
      <c r="O19" s="26">
        <v>692540.0</v>
      </c>
      <c r="P19" s="31">
        <f t="shared" si="7"/>
        <v>22.61273142</v>
      </c>
      <c r="Q19" s="26">
        <v>182537.0</v>
      </c>
      <c r="R19" s="31">
        <f t="shared" si="8"/>
        <v>5.960175811</v>
      </c>
      <c r="S19" s="26">
        <v>0.0</v>
      </c>
      <c r="T19" s="31">
        <f t="shared" si="9"/>
        <v>0</v>
      </c>
    </row>
    <row r="20">
      <c r="A20" s="25" t="s">
        <v>59</v>
      </c>
      <c r="B20" s="26">
        <v>4175626.0</v>
      </c>
      <c r="C20" s="26">
        <v>726901.0</v>
      </c>
      <c r="D20" s="31">
        <f t="shared" si="1"/>
        <v>17.40819221</v>
      </c>
      <c r="E20" s="26">
        <v>259169.0</v>
      </c>
      <c r="F20" s="31">
        <f t="shared" si="2"/>
        <v>6.206710084</v>
      </c>
      <c r="G20" s="26">
        <v>2024463.0</v>
      </c>
      <c r="H20" s="31">
        <f t="shared" si="3"/>
        <v>48.48286221</v>
      </c>
      <c r="I20" s="26">
        <v>2376.0</v>
      </c>
      <c r="J20" s="31">
        <f t="shared" si="4"/>
        <v>0.0569016478</v>
      </c>
      <c r="K20" s="26">
        <v>0.0</v>
      </c>
      <c r="L20" s="31">
        <f t="shared" si="5"/>
        <v>0</v>
      </c>
      <c r="M20" s="26">
        <v>0.0</v>
      </c>
      <c r="N20" s="31">
        <f t="shared" si="6"/>
        <v>0</v>
      </c>
      <c r="O20" s="26">
        <v>565497.0</v>
      </c>
      <c r="P20" s="31">
        <f t="shared" si="7"/>
        <v>13.54280771</v>
      </c>
      <c r="Q20" s="26">
        <v>593012.0</v>
      </c>
      <c r="R20" s="31">
        <f t="shared" si="8"/>
        <v>14.20175083</v>
      </c>
      <c r="S20" s="26">
        <v>4208.0</v>
      </c>
      <c r="T20" s="31">
        <f t="shared" si="9"/>
        <v>0.1007753089</v>
      </c>
    </row>
    <row r="21" ht="15.75" customHeight="1">
      <c r="A21" s="25" t="s">
        <v>60</v>
      </c>
      <c r="B21" s="26">
        <v>4443602.0</v>
      </c>
      <c r="C21" s="26">
        <v>767336.0</v>
      </c>
      <c r="D21" s="31">
        <f t="shared" si="1"/>
        <v>17.26833321</v>
      </c>
      <c r="E21" s="26">
        <v>253193.0</v>
      </c>
      <c r="F21" s="31">
        <f t="shared" si="2"/>
        <v>5.697922541</v>
      </c>
      <c r="G21" s="26">
        <v>1967821.0</v>
      </c>
      <c r="H21" s="31">
        <f t="shared" si="3"/>
        <v>44.2843666</v>
      </c>
      <c r="I21" s="26">
        <v>2327.0</v>
      </c>
      <c r="J21" s="31">
        <f t="shared" si="4"/>
        <v>0.05236742625</v>
      </c>
      <c r="K21" s="26">
        <v>0.0</v>
      </c>
      <c r="L21" s="31">
        <f t="shared" si="5"/>
        <v>0</v>
      </c>
      <c r="M21" s="26">
        <v>0.0</v>
      </c>
      <c r="N21" s="31">
        <f t="shared" si="6"/>
        <v>0</v>
      </c>
      <c r="O21" s="26">
        <v>1003440.0</v>
      </c>
      <c r="P21" s="31">
        <f t="shared" si="7"/>
        <v>22.58168036</v>
      </c>
      <c r="Q21" s="26">
        <v>425928.0</v>
      </c>
      <c r="R21" s="31">
        <f t="shared" si="8"/>
        <v>9.585196874</v>
      </c>
      <c r="S21" s="26">
        <v>23557.0</v>
      </c>
      <c r="T21" s="31">
        <f t="shared" si="9"/>
        <v>0.5301329867</v>
      </c>
    </row>
    <row r="22" ht="15.75" customHeight="1">
      <c r="A22" s="25" t="s">
        <v>63</v>
      </c>
      <c r="B22" s="26">
        <v>3636167.0</v>
      </c>
      <c r="C22" s="26">
        <v>704915.0</v>
      </c>
      <c r="D22" s="31">
        <f t="shared" si="1"/>
        <v>19.38621081</v>
      </c>
      <c r="E22" s="26">
        <v>305025.0</v>
      </c>
      <c r="F22" s="31">
        <f t="shared" si="2"/>
        <v>8.388641116</v>
      </c>
      <c r="G22" s="26">
        <v>1724727.0</v>
      </c>
      <c r="H22" s="31">
        <f t="shared" si="3"/>
        <v>47.43255742</v>
      </c>
      <c r="I22" s="26">
        <v>0.0</v>
      </c>
      <c r="J22" s="31">
        <f t="shared" si="4"/>
        <v>0</v>
      </c>
      <c r="K22" s="26">
        <v>2163.0</v>
      </c>
      <c r="L22" s="31">
        <f t="shared" si="5"/>
        <v>0.05948571669</v>
      </c>
      <c r="M22" s="26">
        <v>2147.0</v>
      </c>
      <c r="N22" s="31">
        <f t="shared" si="6"/>
        <v>0.0590456929</v>
      </c>
      <c r="O22" s="26">
        <v>629423.0</v>
      </c>
      <c r="P22" s="31">
        <f t="shared" si="7"/>
        <v>17.31006854</v>
      </c>
      <c r="Q22" s="26">
        <v>243899.0</v>
      </c>
      <c r="R22" s="31">
        <f t="shared" si="8"/>
        <v>6.707585213</v>
      </c>
      <c r="S22" s="26">
        <v>23869.0</v>
      </c>
      <c r="T22" s="31">
        <f t="shared" si="9"/>
        <v>0.6564329966</v>
      </c>
    </row>
    <row r="23" ht="15.75" customHeight="1">
      <c r="A23" s="25" t="s">
        <v>64</v>
      </c>
      <c r="B23" s="26">
        <v>2220907.0</v>
      </c>
      <c r="C23" s="26">
        <v>402575.0</v>
      </c>
      <c r="D23" s="31">
        <f t="shared" si="1"/>
        <v>18.12660323</v>
      </c>
      <c r="E23" s="26">
        <v>129418.0</v>
      </c>
      <c r="F23" s="31">
        <f t="shared" si="2"/>
        <v>5.827258863</v>
      </c>
      <c r="G23" s="26">
        <v>1052756.0</v>
      </c>
      <c r="H23" s="31">
        <f t="shared" si="3"/>
        <v>47.40207492</v>
      </c>
      <c r="I23" s="26">
        <v>2698.0</v>
      </c>
      <c r="J23" s="31">
        <f t="shared" si="4"/>
        <v>0.1214818991</v>
      </c>
      <c r="K23" s="26">
        <v>1532.0</v>
      </c>
      <c r="L23" s="31">
        <f t="shared" si="5"/>
        <v>0.0689808263</v>
      </c>
      <c r="M23" s="26">
        <v>0.0</v>
      </c>
      <c r="N23" s="31">
        <f t="shared" si="6"/>
        <v>0</v>
      </c>
      <c r="O23" s="26">
        <v>252258.0</v>
      </c>
      <c r="P23" s="31">
        <f t="shared" si="7"/>
        <v>11.35833243</v>
      </c>
      <c r="Q23" s="26">
        <v>372513.0</v>
      </c>
      <c r="R23" s="31">
        <f t="shared" si="8"/>
        <v>16.77301211</v>
      </c>
      <c r="S23" s="26">
        <v>7156.0</v>
      </c>
      <c r="T23" s="31">
        <f t="shared" si="9"/>
        <v>0.3222107004</v>
      </c>
    </row>
    <row r="24" ht="15.75" customHeight="1">
      <c r="A24" s="25" t="s">
        <v>65</v>
      </c>
      <c r="B24" s="26">
        <v>3746618.0</v>
      </c>
      <c r="C24" s="26">
        <v>605905.0</v>
      </c>
      <c r="D24" s="31">
        <f t="shared" si="1"/>
        <v>16.1720517</v>
      </c>
      <c r="E24" s="26">
        <v>62070.0</v>
      </c>
      <c r="F24" s="31">
        <f t="shared" si="2"/>
        <v>1.656694117</v>
      </c>
      <c r="G24" s="26">
        <v>655464.0</v>
      </c>
      <c r="H24" s="31">
        <f t="shared" si="3"/>
        <v>17.49481799</v>
      </c>
      <c r="I24" s="26">
        <v>1932.0</v>
      </c>
      <c r="J24" s="31">
        <f t="shared" si="4"/>
        <v>0.05156650611</v>
      </c>
      <c r="K24" s="26">
        <v>0.0</v>
      </c>
      <c r="L24" s="31">
        <f t="shared" si="5"/>
        <v>0</v>
      </c>
      <c r="M24" s="26">
        <v>1058.0</v>
      </c>
      <c r="N24" s="31">
        <f t="shared" si="6"/>
        <v>0.02823880097</v>
      </c>
      <c r="O24" s="26">
        <v>1523050.0</v>
      </c>
      <c r="P24" s="31">
        <f t="shared" si="7"/>
        <v>40.65132875</v>
      </c>
      <c r="Q24" s="26">
        <v>897140.0</v>
      </c>
      <c r="R24" s="31">
        <f t="shared" si="8"/>
        <v>23.94532883</v>
      </c>
      <c r="S24" s="26">
        <v>0.0</v>
      </c>
      <c r="T24" s="31">
        <f t="shared" si="9"/>
        <v>0</v>
      </c>
    </row>
    <row r="25" ht="15.75" customHeight="1">
      <c r="A25" s="28"/>
      <c r="B25" s="28"/>
      <c r="C25" s="28"/>
      <c r="D25" s="28"/>
      <c r="E25" s="28"/>
      <c r="F25" s="28"/>
      <c r="G25" s="28"/>
      <c r="H25" s="28"/>
      <c r="I25" s="28"/>
      <c r="J25" s="28"/>
      <c r="K25" s="28"/>
      <c r="L25" s="28"/>
      <c r="M25" s="28"/>
      <c r="N25" s="28"/>
      <c r="O25" s="28"/>
      <c r="P25" s="28"/>
      <c r="Q25" s="28"/>
      <c r="R25" s="28"/>
      <c r="S25" s="28"/>
      <c r="T25" s="28"/>
    </row>
    <row r="26" ht="15.75" customHeight="1">
      <c r="A26" s="9"/>
      <c r="B26" s="9"/>
      <c r="C26" s="9"/>
      <c r="D26" s="9"/>
      <c r="E26" s="9"/>
      <c r="F26" s="9"/>
      <c r="G26" s="9"/>
      <c r="H26" s="9"/>
      <c r="I26" s="9"/>
      <c r="J26" s="9"/>
      <c r="K26" s="9"/>
      <c r="L26" s="9"/>
      <c r="M26" s="9"/>
      <c r="N26" s="9"/>
      <c r="O26" s="9"/>
      <c r="P26" s="9"/>
      <c r="Q26" s="9"/>
      <c r="R26" s="9"/>
      <c r="S26" s="9"/>
      <c r="T26" s="9"/>
    </row>
    <row r="27" ht="15.75" customHeight="1">
      <c r="A27" s="29" t="s">
        <v>69</v>
      </c>
      <c r="B27" s="29"/>
      <c r="C27" s="29"/>
      <c r="D27" s="29"/>
      <c r="E27" s="29"/>
      <c r="F27" s="29"/>
      <c r="G27" s="29"/>
      <c r="H27" s="29"/>
      <c r="I27" s="29"/>
      <c r="J27" s="29"/>
      <c r="K27" s="29"/>
      <c r="L27" s="29"/>
      <c r="M27" s="29"/>
      <c r="N27" s="29"/>
      <c r="O27" s="29"/>
      <c r="P27" s="29"/>
      <c r="Q27" s="29"/>
      <c r="R27" s="29"/>
      <c r="S27" s="29"/>
      <c r="T27" s="29"/>
    </row>
    <row r="28" ht="15.75" customHeight="1">
      <c r="A28" s="29" t="s">
        <v>72</v>
      </c>
      <c r="B28" s="29"/>
      <c r="C28" s="29"/>
      <c r="D28" s="29"/>
      <c r="E28" s="29"/>
      <c r="F28" s="29"/>
      <c r="G28" s="29"/>
      <c r="H28" s="29"/>
      <c r="I28" s="29"/>
      <c r="J28" s="29"/>
      <c r="K28" s="29"/>
      <c r="L28" s="29"/>
      <c r="M28" s="29"/>
      <c r="N28" s="29"/>
      <c r="O28" s="29"/>
      <c r="P28" s="29"/>
      <c r="Q28" s="29"/>
      <c r="R28" s="29"/>
      <c r="S28" s="29"/>
      <c r="T28" s="29"/>
    </row>
    <row r="29" ht="15.75" customHeight="1">
      <c r="A29" s="29" t="s">
        <v>534</v>
      </c>
      <c r="B29" s="29"/>
      <c r="C29" s="29"/>
      <c r="D29" s="29"/>
      <c r="E29" s="29"/>
      <c r="F29" s="29"/>
      <c r="G29" s="29"/>
      <c r="H29" s="29"/>
      <c r="I29" s="29"/>
      <c r="J29" s="29"/>
      <c r="K29" s="29"/>
      <c r="L29" s="29"/>
      <c r="M29" s="29"/>
      <c r="N29" s="29"/>
      <c r="O29" s="29"/>
      <c r="P29" s="29"/>
      <c r="Q29" s="29"/>
      <c r="R29" s="29"/>
      <c r="S29" s="29"/>
      <c r="T29" s="29"/>
    </row>
    <row r="30" ht="15.75" customHeight="1">
      <c r="A30" s="32" t="s">
        <v>76</v>
      </c>
    </row>
    <row r="31" ht="15.75" customHeight="1">
      <c r="A31" s="32"/>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
    <mergeCell ref="M4:N4"/>
    <mergeCell ref="O4:P4"/>
    <mergeCell ref="Q4:R4"/>
    <mergeCell ref="S4:T4"/>
    <mergeCell ref="A30:Q30"/>
    <mergeCell ref="A31:Q31"/>
    <mergeCell ref="A4:A5"/>
    <mergeCell ref="B4:B5"/>
    <mergeCell ref="C4:D4"/>
    <mergeCell ref="E4:F4"/>
    <mergeCell ref="G4:H4"/>
    <mergeCell ref="I4:J4"/>
    <mergeCell ref="K4:L4"/>
  </mergeCells>
  <hyperlinks>
    <hyperlink display="BACK TO LIST" location="LIST!A1" ref="A1"/>
  </hyperlinks>
  <printOptions/>
  <pageMargins bottom="0.75" footer="0.0" header="0.0" left="0.7" right="0.7" top="0.75"/>
  <pageSetup paperSize="9" scale="63" orientation="portrait"/>
  <drawing r:id="rId1"/>
</worksheet>
</file>

<file path=xl/worksheets/sheet5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9"/>
    <pageSetUpPr/>
  </sheetPr>
  <sheetViews>
    <sheetView workbookViewId="0"/>
  </sheetViews>
  <sheetFormatPr customHeight="1" defaultColWidth="12.63" defaultRowHeight="15.0"/>
  <cols>
    <col customWidth="1" min="1" max="1" width="39.0"/>
    <col customWidth="1" min="2" max="4" width="14.0"/>
    <col customWidth="1" min="5" max="26" width="8.63"/>
  </cols>
  <sheetData>
    <row r="1">
      <c r="A1" s="5" t="s">
        <v>1</v>
      </c>
    </row>
    <row r="2" ht="15.0" customHeight="1">
      <c r="A2" s="33" t="s">
        <v>530</v>
      </c>
      <c r="B2" s="7"/>
      <c r="C2" s="7"/>
      <c r="D2" s="7"/>
    </row>
    <row r="3">
      <c r="A3" s="8"/>
      <c r="B3" s="9"/>
      <c r="C3" s="9"/>
      <c r="D3" s="9"/>
    </row>
    <row r="4" ht="30.0" customHeight="1">
      <c r="A4" s="10" t="s">
        <v>13</v>
      </c>
      <c r="B4" s="21" t="s">
        <v>143</v>
      </c>
      <c r="C4" s="13" t="s">
        <v>531</v>
      </c>
      <c r="D4" s="15"/>
    </row>
    <row r="5">
      <c r="A5" s="18"/>
      <c r="B5" s="18"/>
      <c r="C5" s="24" t="s">
        <v>37</v>
      </c>
      <c r="D5" s="24" t="s">
        <v>39</v>
      </c>
    </row>
    <row r="6">
      <c r="A6" s="16"/>
      <c r="B6" s="20"/>
      <c r="C6" s="20"/>
      <c r="D6" s="20"/>
    </row>
    <row r="7">
      <c r="A7" s="22" t="s">
        <v>33</v>
      </c>
      <c r="B7" s="23">
        <v>9.1383228E7</v>
      </c>
      <c r="C7" s="23">
        <v>6.7845074E7</v>
      </c>
      <c r="D7" s="27">
        <f t="shared" ref="D7:D24" si="1">(C7/B7)*100</f>
        <v>74.24236973</v>
      </c>
    </row>
    <row r="8">
      <c r="A8" s="25" t="s">
        <v>38</v>
      </c>
      <c r="B8" s="26">
        <v>1.1919468E7</v>
      </c>
      <c r="C8" s="26">
        <v>1.0447005E7</v>
      </c>
      <c r="D8" s="31">
        <f t="shared" si="1"/>
        <v>87.64657114</v>
      </c>
    </row>
    <row r="9">
      <c r="A9" s="25" t="s">
        <v>41</v>
      </c>
      <c r="B9" s="26">
        <v>1496049.0</v>
      </c>
      <c r="C9" s="26">
        <v>1161149.0</v>
      </c>
      <c r="D9" s="31">
        <f t="shared" si="1"/>
        <v>77.61436958</v>
      </c>
    </row>
    <row r="10">
      <c r="A10" s="25" t="s">
        <v>43</v>
      </c>
      <c r="B10" s="26">
        <v>4389510.0</v>
      </c>
      <c r="C10" s="26">
        <v>3583075.0</v>
      </c>
      <c r="D10" s="31">
        <f t="shared" si="1"/>
        <v>81.62813161</v>
      </c>
    </row>
    <row r="11">
      <c r="A11" s="25" t="s">
        <v>44</v>
      </c>
      <c r="B11" s="26">
        <v>3055894.0</v>
      </c>
      <c r="C11" s="26">
        <v>2301665.0</v>
      </c>
      <c r="D11" s="31">
        <f t="shared" si="1"/>
        <v>75.31887559</v>
      </c>
    </row>
    <row r="12">
      <c r="A12" s="25" t="s">
        <v>46</v>
      </c>
      <c r="B12" s="26">
        <v>1.070829E7</v>
      </c>
      <c r="C12" s="26">
        <v>8693837.0</v>
      </c>
      <c r="D12" s="31">
        <f t="shared" si="1"/>
        <v>81.18791142</v>
      </c>
    </row>
    <row r="13">
      <c r="A13" s="25" t="s">
        <v>48</v>
      </c>
      <c r="B13" s="26">
        <v>1.3985526E7</v>
      </c>
      <c r="C13" s="26">
        <v>1.1081639E7</v>
      </c>
      <c r="D13" s="31">
        <f t="shared" si="1"/>
        <v>79.23648349</v>
      </c>
    </row>
    <row r="14">
      <c r="A14" s="25" t="s">
        <v>50</v>
      </c>
      <c r="B14" s="26">
        <v>2538126.0</v>
      </c>
      <c r="C14" s="26">
        <v>1836261.0</v>
      </c>
      <c r="D14" s="31">
        <f t="shared" si="1"/>
        <v>72.34711752</v>
      </c>
    </row>
    <row r="15">
      <c r="A15" s="25" t="s">
        <v>51</v>
      </c>
      <c r="B15" s="26">
        <v>4884805.0</v>
      </c>
      <c r="C15" s="26">
        <v>3284711.0</v>
      </c>
      <c r="D15" s="31">
        <f t="shared" si="1"/>
        <v>67.24344165</v>
      </c>
    </row>
    <row r="16">
      <c r="A16" s="25" t="s">
        <v>53</v>
      </c>
      <c r="B16" s="26">
        <v>6586874.0</v>
      </c>
      <c r="C16" s="26">
        <v>4661274.0</v>
      </c>
      <c r="D16" s="31">
        <f t="shared" si="1"/>
        <v>70.7661024</v>
      </c>
    </row>
    <row r="17">
      <c r="A17" s="25" t="s">
        <v>54</v>
      </c>
      <c r="B17" s="26">
        <v>6668940.0</v>
      </c>
      <c r="C17" s="26">
        <v>5124399.0</v>
      </c>
      <c r="D17" s="31">
        <f t="shared" si="1"/>
        <v>76.83978263</v>
      </c>
    </row>
    <row r="18">
      <c r="A18" s="25" t="s">
        <v>56</v>
      </c>
      <c r="B18" s="26">
        <v>3864215.0</v>
      </c>
      <c r="C18" s="26">
        <v>2545975.0</v>
      </c>
      <c r="D18" s="31">
        <f t="shared" si="1"/>
        <v>65.88595614</v>
      </c>
    </row>
    <row r="19">
      <c r="A19" s="25" t="s">
        <v>57</v>
      </c>
      <c r="B19" s="26">
        <v>3062611.0</v>
      </c>
      <c r="C19" s="26">
        <v>1664100.0</v>
      </c>
      <c r="D19" s="31">
        <f t="shared" si="1"/>
        <v>54.33598978</v>
      </c>
    </row>
    <row r="20">
      <c r="A20" s="25" t="s">
        <v>59</v>
      </c>
      <c r="B20" s="26">
        <v>4175626.0</v>
      </c>
      <c r="C20" s="26">
        <v>2958363.0</v>
      </c>
      <c r="D20" s="31">
        <f t="shared" si="1"/>
        <v>70.848371</v>
      </c>
    </row>
    <row r="21" ht="15.75" customHeight="1">
      <c r="A21" s="25" t="s">
        <v>60</v>
      </c>
      <c r="B21" s="26">
        <v>4443602.0</v>
      </c>
      <c r="C21" s="26">
        <v>2825357.0</v>
      </c>
      <c r="D21" s="31">
        <f t="shared" si="1"/>
        <v>63.58258458</v>
      </c>
    </row>
    <row r="22" ht="15.75" customHeight="1">
      <c r="A22" s="25" t="s">
        <v>63</v>
      </c>
      <c r="B22" s="26">
        <v>3636167.0</v>
      </c>
      <c r="C22" s="26">
        <v>2276575.0</v>
      </c>
      <c r="D22" s="31">
        <f t="shared" si="1"/>
        <v>62.60919809</v>
      </c>
    </row>
    <row r="23" ht="15.75" customHeight="1">
      <c r="A23" s="25" t="s">
        <v>64</v>
      </c>
      <c r="B23" s="26">
        <v>2220907.0</v>
      </c>
      <c r="C23" s="26">
        <v>1642827.0</v>
      </c>
      <c r="D23" s="31">
        <f t="shared" si="1"/>
        <v>73.97099473</v>
      </c>
    </row>
    <row r="24" ht="15.75" customHeight="1">
      <c r="A24" s="25" t="s">
        <v>65</v>
      </c>
      <c r="B24" s="26">
        <v>3746618.0</v>
      </c>
      <c r="C24" s="26">
        <v>1756862.0</v>
      </c>
      <c r="D24" s="31">
        <f t="shared" si="1"/>
        <v>46.89194361</v>
      </c>
    </row>
    <row r="25" ht="15.75" customHeight="1">
      <c r="A25" s="28"/>
      <c r="B25" s="28"/>
      <c r="C25" s="28"/>
      <c r="D25" s="28"/>
    </row>
    <row r="26" ht="15.75" customHeight="1">
      <c r="A26" s="9"/>
      <c r="B26" s="9"/>
      <c r="C26" s="9"/>
      <c r="D26" s="9"/>
    </row>
    <row r="27" ht="15.75" customHeight="1">
      <c r="A27" s="29" t="s">
        <v>69</v>
      </c>
      <c r="B27" s="29"/>
      <c r="C27" s="29"/>
      <c r="D27" s="29"/>
      <c r="E27" s="29"/>
      <c r="F27" s="29"/>
      <c r="G27" s="30"/>
    </row>
    <row r="28" ht="15.75" customHeight="1">
      <c r="A28" s="29" t="s">
        <v>72</v>
      </c>
      <c r="B28" s="29"/>
      <c r="C28" s="29"/>
      <c r="D28" s="29"/>
      <c r="E28" s="29"/>
      <c r="F28" s="29"/>
      <c r="G28" s="30"/>
      <c r="H28" s="30"/>
      <c r="I28" s="30"/>
      <c r="J28" s="30"/>
      <c r="K28" s="30"/>
      <c r="L28" s="30"/>
      <c r="M28" s="30"/>
    </row>
    <row r="29" ht="15.75" customHeight="1">
      <c r="A29" s="29" t="s">
        <v>533</v>
      </c>
      <c r="B29" s="29"/>
      <c r="C29" s="29"/>
      <c r="D29" s="29"/>
      <c r="E29" s="29"/>
      <c r="F29" s="29"/>
      <c r="G29" s="30"/>
      <c r="H29" s="30"/>
      <c r="I29" s="30"/>
      <c r="J29" s="30"/>
      <c r="K29" s="30"/>
      <c r="L29" s="30"/>
      <c r="M29" s="30"/>
    </row>
    <row r="30" ht="15.75" customHeight="1">
      <c r="A30" s="32" t="s">
        <v>76</v>
      </c>
    </row>
    <row r="31" ht="15.75" customHeight="1">
      <c r="A31" s="32"/>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4:A5"/>
    <mergeCell ref="B4:B5"/>
    <mergeCell ref="C4:D4"/>
    <mergeCell ref="A30:M30"/>
    <mergeCell ref="A31:M31"/>
  </mergeCells>
  <hyperlinks>
    <hyperlink display="BACK TO LIST" location="LIST!A1" ref="A1"/>
  </hyperlinks>
  <printOptions/>
  <pageMargins bottom="0.75" footer="0.0" header="0.0" left="0.7" right="0.7" top="0.75"/>
  <pageSetup paperSize="9" scale="63" orientation="portrait"/>
  <drawing r:id="rId1"/>
</worksheet>
</file>